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I:\groups\fin-mgmt\GCA\Reporting\REPORTS\62-7032\"/>
    </mc:Choice>
  </mc:AlternateContent>
  <bookViews>
    <workbookView xWindow="-12" yWindow="5868" windowWidth="19236" windowHeight="6012" tabRatio="805" activeTab="3"/>
  </bookViews>
  <sheets>
    <sheet name="FA Rec" sheetId="27" r:id="rId1"/>
    <sheet name="Input" sheetId="1" r:id="rId2"/>
    <sheet name="Reconciliation" sheetId="3" r:id="rId3"/>
    <sheet name="SF425-FFR" sheetId="22" r:id="rId4"/>
    <sheet name="GT_PI Letter" sheetId="7" r:id="rId5"/>
    <sheet name="Sponsor Email" sheetId="26" r:id="rId6"/>
    <sheet name="Sponsor Corresp." sheetId="16" r:id="rId7"/>
    <sheet name="IDC" sheetId="8" r:id="rId8"/>
    <sheet name="GABS" sheetId="5" r:id="rId9"/>
    <sheet name="IDC ADJ JV" sheetId="23" r:id="rId10"/>
    <sheet name="OFFSET JV" sheetId="10" r:id="rId11"/>
    <sheet name="Deficit JV" sheetId="11" r:id="rId12"/>
    <sheet name="Updates" sheetId="24" r:id="rId13"/>
    <sheet name="Outstanding Oblig." sheetId="4" state="hidden" r:id="rId14"/>
    <sheet name="Module1" sheetId="12" state="veryHidden" r:id=""/>
  </sheets>
  <externalReferences>
    <externalReference r:id="rId15"/>
    <externalReference r:id="rId16"/>
    <externalReference r:id="rId17"/>
  </externalReferences>
  <definedNames>
    <definedName name="\a" localSheetId="0">#REF!</definedName>
    <definedName name="\a" localSheetId="13">'Outstanding Oblig.'!#REF!</definedName>
    <definedName name="\a" localSheetId="3">#REF!</definedName>
    <definedName name="\a">#REF!</definedName>
    <definedName name="\b" localSheetId="0">#REF!</definedName>
    <definedName name="\b" localSheetId="13">'Outstanding Oblig.'!#REF!</definedName>
    <definedName name="\b" localSheetId="3">#REF!</definedName>
    <definedName name="\b">#REF!</definedName>
    <definedName name="\c" localSheetId="0">#REF!</definedName>
    <definedName name="\c" localSheetId="13">'Outstanding Oblig.'!#REF!</definedName>
    <definedName name="\c" localSheetId="3">#REF!</definedName>
    <definedName name="\c">#REF!</definedName>
    <definedName name="\d" localSheetId="11">'Deficit JV'!$AR$113:$AT$113</definedName>
    <definedName name="\d" localSheetId="0">#REF!</definedName>
    <definedName name="\d" localSheetId="9">'IDC ADJ JV'!$AQ$108:$AS$108</definedName>
    <definedName name="\d" localSheetId="10">'OFFSET JV'!$AR$111:$AT$111</definedName>
    <definedName name="\d" localSheetId="13">'Outstanding Oblig.'!#REF!</definedName>
    <definedName name="\d" localSheetId="3">#REF!</definedName>
    <definedName name="\d">#REF!</definedName>
    <definedName name="\e" localSheetId="11">'Deficit JV'!$AR$115:$AT$115</definedName>
    <definedName name="\e" localSheetId="0">#REF!</definedName>
    <definedName name="\e" localSheetId="9">'IDC ADJ JV'!$AQ$110:$AS$110</definedName>
    <definedName name="\e" localSheetId="10">'OFFSET JV'!$AR$113:$AT$113</definedName>
    <definedName name="\e" localSheetId="13">'Outstanding Oblig.'!#REF!</definedName>
    <definedName name="\e" localSheetId="3">#REF!</definedName>
    <definedName name="\e">#REF!</definedName>
    <definedName name="\f" localSheetId="0">#REF!</definedName>
    <definedName name="\f" localSheetId="13">'Outstanding Oblig.'!#REF!</definedName>
    <definedName name="\f" localSheetId="3">#REF!</definedName>
    <definedName name="\f">#REF!</definedName>
    <definedName name="\g" localSheetId="0">#REF!</definedName>
    <definedName name="\g" localSheetId="13">'Outstanding Oblig.'!#REF!</definedName>
    <definedName name="\g" localSheetId="3">#REF!</definedName>
    <definedName name="\g">#REF!</definedName>
    <definedName name="\h" localSheetId="0">#REF!</definedName>
    <definedName name="\h" localSheetId="13">'Outstanding Oblig.'!#REF!</definedName>
    <definedName name="\h" localSheetId="3">#REF!</definedName>
    <definedName name="\h">#REF!</definedName>
    <definedName name="\i" localSheetId="0">#REF!</definedName>
    <definedName name="\i" localSheetId="13">'Outstanding Oblig.'!#REF!</definedName>
    <definedName name="\i" localSheetId="3">#REF!</definedName>
    <definedName name="\i">#REF!</definedName>
    <definedName name="\j" localSheetId="0">#REF!</definedName>
    <definedName name="\j" localSheetId="13">'Outstanding Oblig.'!#REF!</definedName>
    <definedName name="\j" localSheetId="3">#REF!</definedName>
    <definedName name="\j">#REF!</definedName>
    <definedName name="\k" localSheetId="0">#REF!</definedName>
    <definedName name="\k" localSheetId="13">'Outstanding Oblig.'!#REF!</definedName>
    <definedName name="\k" localSheetId="3">#REF!</definedName>
    <definedName name="\k">#REF!</definedName>
    <definedName name="\l" localSheetId="0">#REF!</definedName>
    <definedName name="\l" localSheetId="13">'Outstanding Oblig.'!#REF!</definedName>
    <definedName name="\l" localSheetId="3">#REF!</definedName>
    <definedName name="\l">#REF!</definedName>
    <definedName name="\m" localSheetId="0">#REF!</definedName>
    <definedName name="\m" localSheetId="13">'Outstanding Oblig.'!#REF!</definedName>
    <definedName name="\m" localSheetId="3">#REF!</definedName>
    <definedName name="\m">#REF!</definedName>
    <definedName name="\n" localSheetId="0">#REF!</definedName>
    <definedName name="\n" localSheetId="13">'Outstanding Oblig.'!#REF!</definedName>
    <definedName name="\n" localSheetId="3">#REF!</definedName>
    <definedName name="\n">#REF!</definedName>
    <definedName name="\o" localSheetId="0">#REF!</definedName>
    <definedName name="\o" localSheetId="3">#REF!</definedName>
    <definedName name="\o">#REF!</definedName>
    <definedName name="\p" localSheetId="11">'Deficit JV'!$AR$109:$AS$110</definedName>
    <definedName name="\p" localSheetId="0">#REF!</definedName>
    <definedName name="\p" localSheetId="9">'IDC ADJ JV'!$AQ$104:$AR$105</definedName>
    <definedName name="\p" localSheetId="10">'OFFSET JV'!$AR$107:$AS$108</definedName>
    <definedName name="\p" localSheetId="13">'Outstanding Oblig.'!#REF!</definedName>
    <definedName name="\p" localSheetId="3">#REF!</definedName>
    <definedName name="\p">#REF!</definedName>
    <definedName name="\q" localSheetId="0">#REF!</definedName>
    <definedName name="\q" localSheetId="13">'Outstanding Oblig.'!#REF!</definedName>
    <definedName name="\q" localSheetId="3">#REF!</definedName>
    <definedName name="\q">#REF!</definedName>
    <definedName name="\r" localSheetId="0">#REF!</definedName>
    <definedName name="\r" localSheetId="13">'Outstanding Oblig.'!#REF!</definedName>
    <definedName name="\r" localSheetId="3">#REF!</definedName>
    <definedName name="\r">#REF!</definedName>
    <definedName name="\s" localSheetId="0">#REF!</definedName>
    <definedName name="\s" localSheetId="13">'Outstanding Oblig.'!#REF!</definedName>
    <definedName name="\s" localSheetId="3">#REF!</definedName>
    <definedName name="\s">#REF!</definedName>
    <definedName name="\t" localSheetId="13">'Outstanding Oblig.'!#REF!</definedName>
    <definedName name="\u" localSheetId="0">#REF!</definedName>
    <definedName name="\u" localSheetId="13">'Outstanding Oblig.'!#REF!</definedName>
    <definedName name="\u" localSheetId="3">#REF!</definedName>
    <definedName name="\u">#REF!</definedName>
    <definedName name="\v" localSheetId="0">#REF!</definedName>
    <definedName name="\v" localSheetId="13">'Outstanding Oblig.'!$EG$8176</definedName>
    <definedName name="\v" localSheetId="3">#REF!</definedName>
    <definedName name="\v">#REF!</definedName>
    <definedName name="\w" localSheetId="13">'Outstanding Oblig.'!#REF!</definedName>
    <definedName name="\x" localSheetId="11">'Deficit JV'!$AR$120</definedName>
    <definedName name="\x" localSheetId="0">#REF!</definedName>
    <definedName name="\x" localSheetId="9">'IDC ADJ JV'!$AQ$115</definedName>
    <definedName name="\x" localSheetId="10">'OFFSET JV'!$AR$118</definedName>
    <definedName name="\x" localSheetId="13">'Outstanding Oblig.'!#REF!</definedName>
    <definedName name="\x" localSheetId="3">#REF!</definedName>
    <definedName name="\x">#REF!</definedName>
    <definedName name="\y" localSheetId="0">#REF!</definedName>
    <definedName name="\y" localSheetId="13">'Outstanding Oblig.'!#REF!</definedName>
    <definedName name="\y" localSheetId="3">#REF!</definedName>
    <definedName name="\y">#REF!</definedName>
    <definedName name="\z" localSheetId="0">#REF!</definedName>
    <definedName name="\z" localSheetId="13">'Outstanding Oblig.'!#REF!</definedName>
    <definedName name="\z" localSheetId="3">#REF!</definedName>
    <definedName name="\z">#REF!</definedName>
    <definedName name="__DOB2">'FA Rec'!$B$24:$T$24</definedName>
    <definedName name="_DOB2">#REF!</definedName>
    <definedName name="_Regression_Int" localSheetId="11" hidden="1">1</definedName>
    <definedName name="_Regression_Int" localSheetId="9" hidden="1">1</definedName>
    <definedName name="_Regression_Int" localSheetId="10" hidden="1">1</definedName>
    <definedName name="_Regression_Int" localSheetId="13" hidden="1">1</definedName>
    <definedName name="CBP">#REF!</definedName>
    <definedName name="Competing" localSheetId="0">'FA Rec'!$F$24:$U$24</definedName>
    <definedName name="Competing">#REF!</definedName>
    <definedName name="CP">#REF!</definedName>
    <definedName name="D.O.B" localSheetId="0">'FA Rec'!$C$24:$E$24</definedName>
    <definedName name="D.O.B">#REF!</definedName>
    <definedName name="DATA" localSheetId="11">'Deficit JV'!$S$5</definedName>
    <definedName name="DATA" localSheetId="0">'[1]unexp bal'!#REF!</definedName>
    <definedName name="DATA" localSheetId="9">'IDC ADJ JV'!#REF!</definedName>
    <definedName name="DATA" localSheetId="10">'OFFSET JV'!$S$5</definedName>
    <definedName name="DATA">'[1]unexp bal'!#REF!</definedName>
    <definedName name="DATE">#REF!</definedName>
    <definedName name="Disposition" localSheetId="0">'FA Rec'!$B$24:$E$24</definedName>
    <definedName name="Disposition">#REF!</definedName>
    <definedName name="DOB" localSheetId="0">'FA Rec'!$C$24:$D$24</definedName>
    <definedName name="DOB">#REF!</definedName>
    <definedName name="FAtypesList">[2]input!$O$26:$O$29</definedName>
    <definedName name="FedShareNetOutlays_SF269I31">[2]SF269!$I$31</definedName>
    <definedName name="FedShareUnliqObl_SF269_I34">[2]SF269!$I$34</definedName>
    <definedName name="funds_available_for_oustanding_obligations" localSheetId="13">'Outstanding Oblig.'!$C$17</definedName>
    <definedName name="Macro1" localSheetId="0">'FA Rec'!Macro1</definedName>
    <definedName name="Macro1" localSheetId="13">'Outstanding Oblig.'!Macro1</definedName>
    <definedName name="Macro1">[0]!Macro1</definedName>
    <definedName name="Macro3" localSheetId="0">'FA Rec'!Macro3</definedName>
    <definedName name="Macro3" localSheetId="13">'Outstanding Oblig.'!Macro3</definedName>
    <definedName name="Macro3">[0]!Macro3</definedName>
    <definedName name="_xlnm.Print_Area" localSheetId="11">'Deficit JV'!$A$1:$H$35</definedName>
    <definedName name="_xlnm.Print_Area" localSheetId="0">'FA Rec'!$B$1:$Y$53</definedName>
    <definedName name="_xlnm.Print_Area" localSheetId="8">GABS!$A$1:$J$37</definedName>
    <definedName name="_xlnm.Print_Area" localSheetId="4">'GT_PI Letter'!$B$4:$C$41</definedName>
    <definedName name="_xlnm.Print_Area" localSheetId="7">IDC!$A$1:$J$23</definedName>
    <definedName name="_xlnm.Print_Area" localSheetId="9">'IDC ADJ JV'!$A$2:$G$29</definedName>
    <definedName name="_xlnm.Print_Area" localSheetId="1">Input!$B$1:$M$292</definedName>
    <definedName name="_xlnm.Print_Area" localSheetId="10">'OFFSET JV'!$A$1:$H$33</definedName>
    <definedName name="_xlnm.Print_Area" localSheetId="13">'Outstanding Oblig.'!$A$1:$G$51</definedName>
    <definedName name="_xlnm.Print_Area" localSheetId="2">Reconciliation!$A$1:$P$56</definedName>
    <definedName name="_xlnm.Print_Area" localSheetId="3">'SF425-FFR'!$A$1:$W$73</definedName>
    <definedName name="Print_Area_MI" localSheetId="11">'Deficit JV'!$A$1:$H$44</definedName>
    <definedName name="Print_Area_MI" localSheetId="9">'IDC ADJ JV'!$A$2:$G$39</definedName>
    <definedName name="Print_Area_MI" localSheetId="10">'OFFSET JV'!$A$1:$H$42</definedName>
    <definedName name="Print_Area_MI" localSheetId="13">'Outstanding Oblig.'!#REF!</definedName>
    <definedName name="Print_Area_MI">#REF!</definedName>
    <definedName name="print_gabs" localSheetId="0">'FA Rec'!print_gabs</definedName>
    <definedName name="print_gabs" localSheetId="13">'Outstanding Oblig.'!print_gabs</definedName>
    <definedName name="print_gabs">[0]!print_gabs</definedName>
    <definedName name="print_idc_adj_jv">[1]!print_idc_adj_jv</definedName>
    <definedName name="print_idc_worksheet" localSheetId="0">'FA Rec'!print_idc_worksheet</definedName>
    <definedName name="print_idc_worksheet" localSheetId="13">'Outstanding Oblig.'!print_idc_worksheet</definedName>
    <definedName name="print_idc_worksheet">[0]!print_idc_worksheet</definedName>
    <definedName name="print_outstanding_obligations" localSheetId="0">'FA Rec'!print_outstanding_obligations</definedName>
    <definedName name="print_outstanding_obligations" localSheetId="13">'Outstanding Oblig.'!print_outstanding_obligations</definedName>
    <definedName name="print_outstanding_obligations">[0]!print_outstanding_obligations</definedName>
    <definedName name="ProgInc_dropdown">[2]input!$M$26:$M$27</definedName>
    <definedName name="Refund" localSheetId="0">'FA Rec'!$B$30:$D$30</definedName>
    <definedName name="Refund">#REF!</definedName>
    <definedName name="Retain" localSheetId="0">'FA Rec'!$B$24:$F$24</definedName>
    <definedName name="Retain">#REF!</definedName>
    <definedName name="Rvec">ROW([2]input!$I$92:$I$96)-ROW([2]input!$I$92)+1</definedName>
    <definedName name="Rvec2">ROW([2]input!$H$109:$H$113)-ROW([2]input!$H$109)+1</definedName>
    <definedName name="Rvec3">ROW([2]input!$O$92:$O$100)-ROW([2]input!$O$92)+1</definedName>
    <definedName name="Segment" localSheetId="0">'FA Rec'!$F$24:$G$24</definedName>
    <definedName name="Segment">#REF!</definedName>
    <definedName name="Segmentr" localSheetId="0">'FA Rec'!$U$24:$W$24</definedName>
    <definedName name="Segmentr">#REF!</definedName>
    <definedName name="SF425rpttype">[3]input!$J$25:$J$28</definedName>
    <definedName name="SF425RptTypes">[2]input!$J$26:$J$29</definedName>
    <definedName name="Sponsor_Website" localSheetId="0">'FA Rec'!$B$35:$I$35</definedName>
    <definedName name="Sponsor_Website">#REF!</definedName>
    <definedName name="Submission" localSheetId="0">'FA Rec'!$B$35:$U$35</definedName>
    <definedName name="Submission">#REF!</definedName>
    <definedName name="TotalCostSharePledge_inputE150">[3]input!$E$163</definedName>
    <definedName name="TotalCostSharePledge_inputE157">[2]input!$E$188</definedName>
    <definedName name="TotalExpenses">[2]input!$L$85</definedName>
    <definedName name="TotalFederalFundsAwarded_inputE107">[3]input!$D$112</definedName>
    <definedName name="TotalIDC">[2]input!$D$87</definedName>
    <definedName name="TotalNetFederalOutlays_inputE153">[3]input!$E$166</definedName>
    <definedName name="TotalNetFederalOutlays_inputE160">[2]input!$E$191</definedName>
    <definedName name="TotalRevenue">[2]input!$J$85</definedName>
    <definedName name="Web_Upload" localSheetId="0">'FA Rec'!$B$35:$I$35</definedName>
    <definedName name="Web_Upload">#REF!</definedName>
    <definedName name="YesNo">[2]input!$J$33:$J$34</definedName>
  </definedNames>
  <calcPr calcId="152511"/>
</workbook>
</file>

<file path=xl/calcChain.xml><?xml version="1.0" encoding="utf-8"?>
<calcChain xmlns="http://schemas.openxmlformats.org/spreadsheetml/2006/main">
  <c r="D109" i="1" l="1"/>
  <c r="D108" i="1"/>
  <c r="D105" i="1"/>
  <c r="D77" i="1"/>
  <c r="E22" i="27" l="1"/>
  <c r="A16" i="27"/>
  <c r="X12" i="27"/>
  <c r="W12" i="27"/>
  <c r="V12" i="27"/>
  <c r="T12" i="27"/>
  <c r="S12" i="27"/>
  <c r="R12" i="27"/>
  <c r="Q12" i="27"/>
  <c r="P12" i="27"/>
  <c r="O12" i="27"/>
  <c r="N12" i="27"/>
  <c r="M12" i="27"/>
  <c r="L12" i="27"/>
  <c r="K12" i="27"/>
  <c r="J12" i="27"/>
  <c r="I12" i="27"/>
  <c r="H12" i="27"/>
  <c r="G12" i="27"/>
  <c r="F12" i="27"/>
  <c r="E12" i="27"/>
  <c r="D12" i="27"/>
  <c r="C12" i="27"/>
  <c r="U12" i="27" s="1"/>
  <c r="AA11" i="27"/>
  <c r="U11" i="27"/>
  <c r="Y11" i="27" s="1"/>
  <c r="AA10" i="27"/>
  <c r="Y10" i="27"/>
  <c r="U10" i="27"/>
  <c r="U9" i="27"/>
  <c r="AA9" i="27" s="1"/>
  <c r="U7" i="27"/>
  <c r="U18" i="27" s="1"/>
  <c r="AH1" i="27"/>
  <c r="Y12" i="27" l="1"/>
  <c r="U15" i="27"/>
  <c r="AA13" i="27"/>
  <c r="Y9" i="27"/>
  <c r="AA7" i="27"/>
  <c r="C16" i="11"/>
  <c r="A59" i="26" l="1"/>
  <c r="A42" i="26"/>
  <c r="B6" i="26"/>
  <c r="A31" i="26" l="1"/>
  <c r="F144" i="1" l="1"/>
  <c r="D33" i="7" l="1"/>
  <c r="E10" i="10" l="1"/>
  <c r="E6" i="23"/>
  <c r="I24" i="5"/>
  <c r="B33" i="7" l="1"/>
  <c r="B27" i="7" l="1"/>
  <c r="H43" i="3" l="1"/>
  <c r="E56" i="3" l="1"/>
  <c r="F56" i="3"/>
  <c r="L52" i="3" l="1"/>
  <c r="F46" i="22" l="1"/>
  <c r="D36" i="1" l="1"/>
  <c r="B29" i="7" l="1"/>
  <c r="B20" i="7"/>
  <c r="B19" i="7"/>
  <c r="B18" i="7"/>
  <c r="B11" i="7"/>
  <c r="B12" i="7"/>
  <c r="B13" i="7"/>
  <c r="B6" i="7"/>
  <c r="B4" i="7"/>
  <c r="D8" i="8" l="1"/>
  <c r="E44" i="22" s="1"/>
  <c r="O13" i="3" l="1"/>
  <c r="B35" i="7"/>
  <c r="D35" i="7"/>
  <c r="C20" i="7" l="1"/>
  <c r="C27" i="7"/>
  <c r="C18" i="7"/>
  <c r="C19" i="7"/>
  <c r="C29" i="7" l="1"/>
  <c r="L97" i="1" l="1"/>
  <c r="H111" i="1" l="1"/>
  <c r="K103" i="1" l="1"/>
  <c r="I103" i="1"/>
  <c r="H100" i="1"/>
  <c r="I112" i="1"/>
  <c r="I109" i="1"/>
  <c r="I108" i="1"/>
  <c r="I104" i="1"/>
  <c r="K109" i="1"/>
  <c r="K108" i="1"/>
  <c r="K104" i="1"/>
  <c r="O19" i="3" l="1"/>
  <c r="O34" i="3" l="1"/>
  <c r="O27" i="3"/>
  <c r="H21" i="3"/>
  <c r="B46" i="22" l="1"/>
  <c r="J95" i="1" l="1"/>
  <c r="B47" i="22" l="1"/>
  <c r="O40" i="22" l="1"/>
  <c r="O38" i="22"/>
  <c r="O35" i="22"/>
  <c r="O34" i="22"/>
  <c r="O30" i="22"/>
  <c r="K97" i="1" l="1"/>
  <c r="N97" i="1" s="1"/>
  <c r="J97" i="1"/>
  <c r="P97" i="1" l="1"/>
  <c r="B45" i="22"/>
  <c r="B44" i="22"/>
  <c r="B43" i="22"/>
  <c r="A52" i="22"/>
  <c r="H21" i="8" l="1"/>
  <c r="H20" i="8"/>
  <c r="H19" i="8"/>
  <c r="H18" i="8"/>
  <c r="H17" i="8"/>
  <c r="H16" i="8"/>
  <c r="F16" i="8"/>
  <c r="H86" i="1" l="1"/>
  <c r="O36" i="22" l="1"/>
  <c r="E102" i="1"/>
  <c r="E101" i="1"/>
  <c r="D80" i="1" l="1"/>
  <c r="H8" i="3" s="1"/>
  <c r="C30" i="3"/>
  <c r="E29" i="23"/>
  <c r="C3" i="23"/>
  <c r="B12" i="23"/>
  <c r="C2" i="23"/>
  <c r="D34" i="1"/>
  <c r="D64" i="1" s="1"/>
  <c r="D17" i="11"/>
  <c r="D16" i="11"/>
  <c r="N16" i="22"/>
  <c r="N15" i="22"/>
  <c r="C24" i="3"/>
  <c r="B21" i="16"/>
  <c r="B17" i="11"/>
  <c r="D27" i="1"/>
  <c r="B7" i="26" s="1"/>
  <c r="C27" i="3"/>
  <c r="E27" i="3" s="1"/>
  <c r="A60" i="22"/>
  <c r="L63" i="22"/>
  <c r="D173" i="1"/>
  <c r="D174" i="1"/>
  <c r="D175" i="1"/>
  <c r="D176" i="1"/>
  <c r="D177" i="1"/>
  <c r="D21" i="1"/>
  <c r="A6" i="22" s="1"/>
  <c r="D17" i="1"/>
  <c r="D31" i="1"/>
  <c r="D18" i="1"/>
  <c r="C158" i="1" s="1"/>
  <c r="C25" i="3"/>
  <c r="C26" i="3"/>
  <c r="D24" i="3"/>
  <c r="D19" i="1"/>
  <c r="D30" i="3"/>
  <c r="D119" i="1"/>
  <c r="C31" i="3" s="1"/>
  <c r="D129" i="1"/>
  <c r="D16" i="1"/>
  <c r="D33" i="1"/>
  <c r="C36" i="3"/>
  <c r="E273" i="1"/>
  <c r="D23" i="1"/>
  <c r="H94" i="1" s="1"/>
  <c r="F43" i="22" s="1"/>
  <c r="D24" i="1"/>
  <c r="D32" i="1"/>
  <c r="D110" i="1"/>
  <c r="D112" i="1" s="1"/>
  <c r="O28" i="22" s="1"/>
  <c r="D26" i="1"/>
  <c r="I18" i="22" s="1"/>
  <c r="D25" i="1"/>
  <c r="L95" i="1"/>
  <c r="L96" i="1"/>
  <c r="F9" i="8" s="1"/>
  <c r="N51" i="3" s="1"/>
  <c r="O36" i="3"/>
  <c r="C46" i="3" s="1"/>
  <c r="E46" i="3" s="1"/>
  <c r="H11" i="3"/>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K86" i="1"/>
  <c r="K94" i="1" s="1"/>
  <c r="N94" i="1" s="1"/>
  <c r="P94" i="1" s="1"/>
  <c r="J96" i="1"/>
  <c r="D9" i="8"/>
  <c r="E45" i="22" s="1"/>
  <c r="G10" i="8"/>
  <c r="D10" i="8"/>
  <c r="E46" i="22" s="1"/>
  <c r="C17" i="4"/>
  <c r="B13" i="16"/>
  <c r="F15" i="8"/>
  <c r="F21" i="8"/>
  <c r="F17" i="8"/>
  <c r="F18" i="8"/>
  <c r="F19" i="8"/>
  <c r="F20" i="8"/>
  <c r="D30" i="1"/>
  <c r="C5" i="23" s="1"/>
  <c r="B9" i="16"/>
  <c r="B10" i="16"/>
  <c r="B11" i="16"/>
  <c r="B12" i="16"/>
  <c r="B8" i="16"/>
  <c r="B16" i="16"/>
  <c r="D6" i="11"/>
  <c r="E10" i="11"/>
  <c r="F12" i="11"/>
  <c r="D5" i="11"/>
  <c r="E153" i="1"/>
  <c r="E146" i="1"/>
  <c r="D28" i="1"/>
  <c r="I21" i="5"/>
  <c r="D31" i="5" s="1"/>
  <c r="E35" i="5"/>
  <c r="B35" i="5"/>
  <c r="I32" i="5"/>
  <c r="D22" i="1"/>
  <c r="C6" i="5" s="1"/>
  <c r="H15" i="8"/>
  <c r="K96" i="1"/>
  <c r="N96" i="1" s="1"/>
  <c r="K95" i="1"/>
  <c r="N95" i="1" s="1"/>
  <c r="D20" i="1"/>
  <c r="D35" i="1"/>
  <c r="D61" i="1" s="1"/>
  <c r="D15" i="3" s="1"/>
  <c r="E239" i="1"/>
  <c r="G50" i="4" s="1"/>
  <c r="E238" i="1"/>
  <c r="G49" i="4" s="1"/>
  <c r="E237" i="1"/>
  <c r="G48" i="4" s="1"/>
  <c r="E236" i="1"/>
  <c r="G47" i="4" s="1"/>
  <c r="E235" i="1"/>
  <c r="G46" i="4" s="1"/>
  <c r="E234" i="1"/>
  <c r="G45" i="4" s="1"/>
  <c r="E233" i="1"/>
  <c r="G44" i="4" s="1"/>
  <c r="E232" i="1"/>
  <c r="G43" i="4" s="1"/>
  <c r="E231" i="1"/>
  <c r="G42" i="4" s="1"/>
  <c r="E230" i="1"/>
  <c r="G41" i="4" s="1"/>
  <c r="E229" i="1"/>
  <c r="G40" i="4" s="1"/>
  <c r="E228" i="1"/>
  <c r="G39" i="4" s="1"/>
  <c r="E227" i="1"/>
  <c r="G38" i="4" s="1"/>
  <c r="E226" i="1"/>
  <c r="G37" i="4" s="1"/>
  <c r="E225" i="1"/>
  <c r="G36" i="4" s="1"/>
  <c r="E224" i="1"/>
  <c r="G35" i="4" s="1"/>
  <c r="E223" i="1"/>
  <c r="G34" i="4" s="1"/>
  <c r="E222" i="1"/>
  <c r="G33" i="4" s="1"/>
  <c r="E221" i="1"/>
  <c r="G32" i="4" s="1"/>
  <c r="E220" i="1"/>
  <c r="G31" i="4" s="1"/>
  <c r="E219" i="1"/>
  <c r="G30" i="4" s="1"/>
  <c r="E218" i="1"/>
  <c r="G29" i="4" s="1"/>
  <c r="E217" i="1"/>
  <c r="G28" i="4" s="1"/>
  <c r="E216" i="1"/>
  <c r="G27" i="4" s="1"/>
  <c r="E215" i="1"/>
  <c r="G26" i="4" s="1"/>
  <c r="E214" i="1"/>
  <c r="G25" i="4" s="1"/>
  <c r="E213" i="1"/>
  <c r="G24" i="4" s="1"/>
  <c r="E212" i="1"/>
  <c r="G23" i="4" s="1"/>
  <c r="D227" i="1"/>
  <c r="D228" i="1"/>
  <c r="D229" i="1"/>
  <c r="D230" i="1"/>
  <c r="D231" i="1"/>
  <c r="D232" i="1"/>
  <c r="D233" i="1"/>
  <c r="D234" i="1"/>
  <c r="D235" i="1"/>
  <c r="D236" i="1"/>
  <c r="D237" i="1"/>
  <c r="D238" i="1"/>
  <c r="D239" i="1"/>
  <c r="D226" i="1"/>
  <c r="D214" i="1"/>
  <c r="D215" i="1"/>
  <c r="D216" i="1"/>
  <c r="D217" i="1"/>
  <c r="D218" i="1"/>
  <c r="D219" i="1"/>
  <c r="D220" i="1"/>
  <c r="D221" i="1"/>
  <c r="D222" i="1"/>
  <c r="D223" i="1"/>
  <c r="D224" i="1"/>
  <c r="D225" i="1"/>
  <c r="D213" i="1"/>
  <c r="D212" i="1"/>
  <c r="D57" i="1"/>
  <c r="E277" i="1"/>
  <c r="D29" i="1"/>
  <c r="D17" i="3" s="1"/>
  <c r="D246" i="1"/>
  <c r="D60" i="1"/>
  <c r="D16" i="3" s="1"/>
  <c r="E24" i="4"/>
  <c r="C213" i="1" s="1"/>
  <c r="E25" i="4"/>
  <c r="C214" i="1" s="1"/>
  <c r="E26" i="4"/>
  <c r="C215" i="1" s="1"/>
  <c r="E27" i="4"/>
  <c r="C216" i="1" s="1"/>
  <c r="E28" i="4"/>
  <c r="C217" i="1" s="1"/>
  <c r="E29" i="4"/>
  <c r="C218" i="1" s="1"/>
  <c r="E30" i="4"/>
  <c r="C219" i="1" s="1"/>
  <c r="E31" i="4"/>
  <c r="C220" i="1" s="1"/>
  <c r="E32" i="4"/>
  <c r="C221" i="1" s="1"/>
  <c r="E33" i="4"/>
  <c r="C222" i="1" s="1"/>
  <c r="E34" i="4"/>
  <c r="C223" i="1" s="1"/>
  <c r="E35" i="4"/>
  <c r="C224" i="1" s="1"/>
  <c r="E36" i="4"/>
  <c r="C225" i="1" s="1"/>
  <c r="E37" i="4"/>
  <c r="C226" i="1" s="1"/>
  <c r="E38" i="4"/>
  <c r="C227" i="1" s="1"/>
  <c r="E39" i="4"/>
  <c r="C228" i="1" s="1"/>
  <c r="E40" i="4"/>
  <c r="C229" i="1" s="1"/>
  <c r="E41" i="4"/>
  <c r="C230" i="1" s="1"/>
  <c r="E42" i="4"/>
  <c r="C231" i="1" s="1"/>
  <c r="E43" i="4"/>
  <c r="C232" i="1" s="1"/>
  <c r="E44" i="4"/>
  <c r="C233" i="1" s="1"/>
  <c r="E45" i="4"/>
  <c r="C234" i="1" s="1"/>
  <c r="E46" i="4"/>
  <c r="C235" i="1" s="1"/>
  <c r="E47" i="4"/>
  <c r="C236" i="1" s="1"/>
  <c r="E48" i="4"/>
  <c r="C237" i="1" s="1"/>
  <c r="E49" i="4"/>
  <c r="C238" i="1" s="1"/>
  <c r="E50" i="4"/>
  <c r="C239" i="1" s="1"/>
  <c r="E23" i="4"/>
  <c r="C212" i="1" s="1"/>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D50" i="4"/>
  <c r="D49" i="4"/>
  <c r="D48" i="4"/>
  <c r="D47" i="4"/>
  <c r="D46" i="4"/>
  <c r="D45" i="4"/>
  <c r="D44" i="4"/>
  <c r="D43" i="4"/>
  <c r="D42" i="4"/>
  <c r="D41" i="4"/>
  <c r="D40" i="4"/>
  <c r="D39" i="4"/>
  <c r="D38" i="4"/>
  <c r="D37" i="4"/>
  <c r="D36" i="4"/>
  <c r="D35" i="4"/>
  <c r="D34" i="4"/>
  <c r="D33" i="4"/>
  <c r="D32" i="4"/>
  <c r="D31" i="4"/>
  <c r="D30" i="4"/>
  <c r="D29" i="4"/>
  <c r="D28" i="4"/>
  <c r="D27" i="4"/>
  <c r="D26" i="4"/>
  <c r="D25" i="4"/>
  <c r="D24" i="4"/>
  <c r="D23"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B38" i="4"/>
  <c r="B39" i="4"/>
  <c r="B40" i="4"/>
  <c r="B41" i="4"/>
  <c r="B42" i="4"/>
  <c r="B43" i="4"/>
  <c r="B44" i="4"/>
  <c r="B45" i="4"/>
  <c r="B46" i="4"/>
  <c r="B47" i="4"/>
  <c r="B48" i="4"/>
  <c r="B49" i="4"/>
  <c r="B50" i="4"/>
  <c r="B37" i="4"/>
  <c r="B35" i="4"/>
  <c r="B36" i="4"/>
  <c r="B33" i="4"/>
  <c r="B23" i="4"/>
  <c r="B24" i="4"/>
  <c r="B25" i="4"/>
  <c r="B26" i="4"/>
  <c r="B27" i="4"/>
  <c r="B28" i="4"/>
  <c r="B29" i="4"/>
  <c r="B30" i="4"/>
  <c r="B31" i="4"/>
  <c r="B32" i="4"/>
  <c r="B34" i="4"/>
  <c r="A34" i="4"/>
  <c r="A23" i="4"/>
  <c r="A24" i="4"/>
  <c r="A25" i="4"/>
  <c r="A26" i="4"/>
  <c r="A27" i="4"/>
  <c r="A28" i="4"/>
  <c r="A29" i="4"/>
  <c r="A30" i="4"/>
  <c r="A31" i="4"/>
  <c r="A32" i="4"/>
  <c r="A38" i="4"/>
  <c r="A39" i="4"/>
  <c r="A40" i="4"/>
  <c r="A41" i="4"/>
  <c r="A42" i="4"/>
  <c r="A43" i="4"/>
  <c r="A44" i="4"/>
  <c r="A45" i="4"/>
  <c r="A46" i="4"/>
  <c r="A47" i="4"/>
  <c r="A48" i="4"/>
  <c r="A49" i="4"/>
  <c r="A50" i="4"/>
  <c r="A37" i="4"/>
  <c r="A35" i="4"/>
  <c r="A36" i="4"/>
  <c r="A33" i="4"/>
  <c r="B10" i="4"/>
  <c r="H44" i="3"/>
  <c r="L39" i="3"/>
  <c r="L37" i="3"/>
  <c r="L38" i="3"/>
  <c r="L29" i="3"/>
  <c r="K29" i="3"/>
  <c r="L30" i="3"/>
  <c r="K30" i="3"/>
  <c r="L8" i="3"/>
  <c r="K8" i="3" s="1"/>
  <c r="G5" i="3"/>
  <c r="O10" i="3"/>
  <c r="O11" i="3"/>
  <c r="H30" i="3"/>
  <c r="O37" i="3"/>
  <c r="H12" i="3"/>
  <c r="L31" i="3"/>
  <c r="L15" i="3"/>
  <c r="K15" i="3" s="1"/>
  <c r="L13" i="3"/>
  <c r="K13" i="3" s="1"/>
  <c r="L11" i="3"/>
  <c r="K11" i="3" s="1"/>
  <c r="L9" i="3"/>
  <c r="K9" i="3" s="1"/>
  <c r="L17" i="3"/>
  <c r="K17" i="3" s="1"/>
  <c r="L19" i="3"/>
  <c r="K19" i="3" s="1"/>
  <c r="L21" i="3"/>
  <c r="K21" i="3" s="1"/>
  <c r="L23" i="3"/>
  <c r="K23" i="3" s="1"/>
  <c r="K31" i="3"/>
  <c r="H31" i="3"/>
  <c r="O16" i="3"/>
  <c r="O6" i="3"/>
  <c r="D6" i="10"/>
  <c r="F11" i="10"/>
  <c r="D5" i="10"/>
  <c r="D26" i="3"/>
  <c r="O15" i="3"/>
  <c r="O14" i="3"/>
  <c r="D25" i="3"/>
  <c r="D99" i="1"/>
  <c r="L7" i="3"/>
  <c r="J86" i="1"/>
  <c r="D11" i="3"/>
  <c r="B13" i="4"/>
  <c r="D248" i="1"/>
  <c r="E18" i="22" l="1"/>
  <c r="B8" i="26"/>
  <c r="B11" i="26"/>
  <c r="B16" i="11"/>
  <c r="B15" i="10"/>
  <c r="B16" i="10" s="1"/>
  <c r="B31" i="10"/>
  <c r="I94" i="1"/>
  <c r="C7" i="8" s="1"/>
  <c r="B9" i="26"/>
  <c r="O9" i="26" s="1"/>
  <c r="A53" i="26" s="1"/>
  <c r="D18" i="3"/>
  <c r="B10" i="26"/>
  <c r="A15" i="22"/>
  <c r="B18" i="16"/>
  <c r="M95" i="1"/>
  <c r="M96" i="1"/>
  <c r="O96" i="1" s="1"/>
  <c r="P96" i="1"/>
  <c r="F8" i="8"/>
  <c r="N50" i="3" s="1"/>
  <c r="M97" i="1"/>
  <c r="P95" i="1"/>
  <c r="X36" i="22"/>
  <c r="E125" i="1"/>
  <c r="L18" i="3" s="1"/>
  <c r="K18" i="3" s="1"/>
  <c r="I86" i="1"/>
  <c r="D7" i="8" s="1"/>
  <c r="J94" i="1"/>
  <c r="B7" i="8"/>
  <c r="N98" i="1"/>
  <c r="C32" i="3"/>
  <c r="C33" i="3" s="1"/>
  <c r="I7" i="8"/>
  <c r="D4" i="8"/>
  <c r="C82" i="1"/>
  <c r="C68" i="1"/>
  <c r="E276" i="1"/>
  <c r="I10" i="8"/>
  <c r="M50" i="3"/>
  <c r="G36" i="3"/>
  <c r="G15" i="22"/>
  <c r="D14" i="3"/>
  <c r="H6" i="22"/>
  <c r="K52" i="3"/>
  <c r="H46" i="22" s="1"/>
  <c r="M51" i="3"/>
  <c r="M52" i="3"/>
  <c r="R18" i="22"/>
  <c r="B21" i="5"/>
  <c r="E9" i="8"/>
  <c r="G9" i="8" s="1"/>
  <c r="K51" i="3" s="1"/>
  <c r="H45" i="22" s="1"/>
  <c r="C4" i="5"/>
  <c r="B28" i="5"/>
  <c r="B24" i="16"/>
  <c r="B45" i="3"/>
  <c r="I8" i="8"/>
  <c r="E127" i="1"/>
  <c r="L22" i="3" s="1"/>
  <c r="K22" i="3" s="1"/>
  <c r="C17" i="11"/>
  <c r="C37" i="5"/>
  <c r="I9" i="8"/>
  <c r="E128" i="1"/>
  <c r="L24" i="3" s="1"/>
  <c r="K24" i="3" s="1"/>
  <c r="C31" i="5"/>
  <c r="E10" i="8"/>
  <c r="G37" i="3"/>
  <c r="H16" i="3"/>
  <c r="E166" i="1"/>
  <c r="H10" i="8"/>
  <c r="E8" i="8"/>
  <c r="G8" i="8" s="1"/>
  <c r="K98" i="1"/>
  <c r="O20" i="3"/>
  <c r="O18" i="3" s="1"/>
  <c r="C146" i="1"/>
  <c r="C145" i="1"/>
  <c r="C159" i="1"/>
  <c r="C176" i="1"/>
  <c r="C162" i="1"/>
  <c r="C161" i="1"/>
  <c r="D7" i="3"/>
  <c r="D3" i="8"/>
  <c r="E3" i="4"/>
  <c r="B23" i="5"/>
  <c r="B2" i="3"/>
  <c r="K2" i="3"/>
  <c r="H95" i="1"/>
  <c r="F44" i="22" s="1"/>
  <c r="F51" i="4"/>
  <c r="C8" i="4" s="1"/>
  <c r="B11" i="4" s="1"/>
  <c r="C13" i="4" s="1"/>
  <c r="C14" i="4" s="1"/>
  <c r="D28" i="3"/>
  <c r="L36" i="3"/>
  <c r="V23" i="4"/>
  <c r="E26" i="3"/>
  <c r="E24" i="3"/>
  <c r="E30" i="3"/>
  <c r="O12" i="3"/>
  <c r="R51" i="4"/>
  <c r="C263" i="1" s="1"/>
  <c r="I16" i="5" s="1"/>
  <c r="B16" i="5" s="1"/>
  <c r="N51" i="4"/>
  <c r="V48" i="4"/>
  <c r="V44" i="4"/>
  <c r="V32" i="4"/>
  <c r="V24" i="4"/>
  <c r="O41" i="22"/>
  <c r="C243" i="1"/>
  <c r="V39" i="4"/>
  <c r="V35" i="4"/>
  <c r="V31" i="4"/>
  <c r="O17" i="3"/>
  <c r="V38" i="4"/>
  <c r="V42" i="4"/>
  <c r="C28" i="3"/>
  <c r="E51" i="4"/>
  <c r="C6" i="4" s="1"/>
  <c r="V33" i="4"/>
  <c r="V45" i="4"/>
  <c r="V37" i="4"/>
  <c r="M51" i="4"/>
  <c r="C258" i="1" s="1"/>
  <c r="I11" i="5" s="1"/>
  <c r="B11" i="5" s="1"/>
  <c r="V40" i="4"/>
  <c r="V36" i="4"/>
  <c r="V28" i="4"/>
  <c r="K51" i="4"/>
  <c r="C256" i="1" s="1"/>
  <c r="U51" i="4"/>
  <c r="C266" i="1" s="1"/>
  <c r="I19" i="5" s="1"/>
  <c r="B19" i="5" s="1"/>
  <c r="T51" i="4"/>
  <c r="C265" i="1" s="1"/>
  <c r="I18" i="5" s="1"/>
  <c r="B18" i="5" s="1"/>
  <c r="S51" i="4"/>
  <c r="C264" i="1" s="1"/>
  <c r="I17" i="5" s="1"/>
  <c r="B17" i="5" s="1"/>
  <c r="L51" i="4"/>
  <c r="C257" i="1" s="1"/>
  <c r="I10" i="5" s="1"/>
  <c r="B10" i="5" s="1"/>
  <c r="V47" i="4"/>
  <c r="V43" i="4"/>
  <c r="V27" i="4"/>
  <c r="D19" i="3"/>
  <c r="C9" i="11"/>
  <c r="O51" i="4"/>
  <c r="V29" i="4"/>
  <c r="V49" i="4"/>
  <c r="V41" i="4"/>
  <c r="V50" i="4"/>
  <c r="V46" i="4"/>
  <c r="Q51" i="4"/>
  <c r="C262" i="1" s="1"/>
  <c r="I15" i="5" s="1"/>
  <c r="B15" i="5" s="1"/>
  <c r="P51" i="4"/>
  <c r="C261" i="1" s="1"/>
  <c r="I14" i="5" s="1"/>
  <c r="B14" i="5" s="1"/>
  <c r="V25" i="4"/>
  <c r="E167" i="1"/>
  <c r="D62" i="1"/>
  <c r="D8" i="3" s="1"/>
  <c r="D10" i="3"/>
  <c r="E4" i="4"/>
  <c r="C72" i="1"/>
  <c r="G43" i="3" s="1"/>
  <c r="D13" i="3"/>
  <c r="V34" i="4"/>
  <c r="V30" i="4"/>
  <c r="V26" i="4"/>
  <c r="E168" i="1"/>
  <c r="E115" i="1"/>
  <c r="E117" i="1"/>
  <c r="L14" i="3" s="1"/>
  <c r="K14" i="3" s="1"/>
  <c r="D9" i="3"/>
  <c r="C273" i="1"/>
  <c r="E116" i="1"/>
  <c r="L12" i="3" s="1"/>
  <c r="K12" i="3" s="1"/>
  <c r="C147" i="1"/>
  <c r="C144" i="1"/>
  <c r="C140" i="1"/>
  <c r="C139" i="1"/>
  <c r="C138" i="1"/>
  <c r="E126" i="1"/>
  <c r="E169" i="1"/>
  <c r="E118" i="1"/>
  <c r="L16" i="3" s="1"/>
  <c r="K16" i="3" s="1"/>
  <c r="C40" i="1"/>
  <c r="E40" i="1" s="1"/>
  <c r="D63" i="1"/>
  <c r="D12" i="3"/>
  <c r="C210" i="1"/>
  <c r="C10" i="11"/>
  <c r="C6" i="23"/>
  <c r="E25" i="3"/>
  <c r="A38" i="26" l="1"/>
  <c r="A55" i="26"/>
  <c r="G43" i="22"/>
  <c r="B2" i="26"/>
  <c r="O8" i="26"/>
  <c r="A36" i="26"/>
  <c r="L51" i="3"/>
  <c r="P98" i="1"/>
  <c r="O95" i="1"/>
  <c r="O97" i="1"/>
  <c r="J98" i="1"/>
  <c r="E7" i="8"/>
  <c r="E11" i="8" s="1"/>
  <c r="B8" i="8"/>
  <c r="F10" i="8"/>
  <c r="H9" i="8"/>
  <c r="J9" i="8" s="1"/>
  <c r="J10" i="8"/>
  <c r="K50" i="3"/>
  <c r="H44" i="22" s="1"/>
  <c r="E43" i="22"/>
  <c r="M49" i="3"/>
  <c r="K46" i="22"/>
  <c r="R46" i="22" s="1"/>
  <c r="I11" i="8"/>
  <c r="J15" i="8" s="1"/>
  <c r="E28" i="3"/>
  <c r="C245" i="1"/>
  <c r="D247" i="1" s="1"/>
  <c r="C248" i="1" s="1"/>
  <c r="C249" i="1" s="1"/>
  <c r="C7" i="4"/>
  <c r="H8" i="8"/>
  <c r="J8" i="8" s="1"/>
  <c r="H96" i="1"/>
  <c r="F45" i="22" s="1"/>
  <c r="I95" i="1"/>
  <c r="G44" i="22" s="1"/>
  <c r="C34" i="3"/>
  <c r="V51" i="4"/>
  <c r="C260" i="1"/>
  <c r="I13" i="5" s="1"/>
  <c r="B13" i="5" s="1"/>
  <c r="C259" i="1"/>
  <c r="I12" i="5" s="1"/>
  <c r="B12" i="5" s="1"/>
  <c r="L20" i="3"/>
  <c r="K20" i="3" s="1"/>
  <c r="E129" i="1"/>
  <c r="L10" i="3"/>
  <c r="K10" i="3" s="1"/>
  <c r="E119" i="1"/>
  <c r="B22" i="16"/>
  <c r="C37" i="3"/>
  <c r="L25" i="3"/>
  <c r="K25" i="3" s="1"/>
  <c r="D273" i="1"/>
  <c r="I9" i="5"/>
  <c r="B9" i="5" s="1"/>
  <c r="L50" i="3" l="1"/>
  <c r="O51" i="3"/>
  <c r="K45" i="22"/>
  <c r="R45" i="22" s="1"/>
  <c r="C11" i="7"/>
  <c r="H97" i="1"/>
  <c r="N52" i="3"/>
  <c r="O52" i="3" s="1"/>
  <c r="C8" i="8"/>
  <c r="C244" i="1"/>
  <c r="C40" i="3"/>
  <c r="I96" i="1"/>
  <c r="G45" i="22" s="1"/>
  <c r="B9" i="8"/>
  <c r="I30" i="5"/>
  <c r="C267" i="1"/>
  <c r="D42" i="3" s="1"/>
  <c r="C42" i="3"/>
  <c r="F16" i="11"/>
  <c r="C39" i="3"/>
  <c r="E130" i="1"/>
  <c r="H23" i="3" s="1"/>
  <c r="D32" i="3"/>
  <c r="E32" i="3" s="1"/>
  <c r="L26" i="3"/>
  <c r="K26" i="3" s="1"/>
  <c r="D37" i="3"/>
  <c r="E37" i="3" s="1"/>
  <c r="D31" i="3"/>
  <c r="E120" i="1"/>
  <c r="H22" i="3" s="1"/>
  <c r="L27" i="3"/>
  <c r="K27" i="3" s="1"/>
  <c r="E42" i="3" l="1"/>
  <c r="B8" i="7" s="1"/>
  <c r="O50" i="3"/>
  <c r="K44" i="22"/>
  <c r="R44" i="22" s="1"/>
  <c r="B10" i="8"/>
  <c r="I97" i="1"/>
  <c r="G46" i="22" s="1"/>
  <c r="C9" i="8"/>
  <c r="C43" i="3"/>
  <c r="C268" i="1"/>
  <c r="L28" i="3"/>
  <c r="K28" i="3" s="1"/>
  <c r="I31" i="5"/>
  <c r="G17" i="11"/>
  <c r="G29" i="11" s="1"/>
  <c r="F29" i="11"/>
  <c r="E31" i="3"/>
  <c r="E33" i="3" s="1"/>
  <c r="D33" i="3"/>
  <c r="H9" i="3" l="1"/>
  <c r="D8" i="7"/>
  <c r="C10" i="8"/>
  <c r="E134" i="1"/>
  <c r="E34" i="3"/>
  <c r="H25" i="3" s="1"/>
  <c r="D34" i="3"/>
  <c r="D36" i="3" l="1"/>
  <c r="D40" i="3" s="1"/>
  <c r="E40" i="3" s="1"/>
  <c r="I23" i="5" s="1"/>
  <c r="L32" i="3"/>
  <c r="D15" i="10"/>
  <c r="C15" i="10"/>
  <c r="C16" i="10"/>
  <c r="D16" i="10"/>
  <c r="H27" i="3"/>
  <c r="E36" i="3" l="1"/>
  <c r="F15" i="10" s="1"/>
  <c r="D39" i="3"/>
  <c r="L33" i="3"/>
  <c r="K32" i="3"/>
  <c r="O24" i="3" l="1"/>
  <c r="E278" i="1"/>
  <c r="E279" i="1" s="1"/>
  <c r="E39" i="3"/>
  <c r="D43" i="3"/>
  <c r="E43" i="3"/>
  <c r="G16" i="10"/>
  <c r="G28" i="10" s="1"/>
  <c r="F28" i="10"/>
  <c r="B21" i="7" l="1"/>
  <c r="B17" i="7"/>
  <c r="O22" i="3"/>
  <c r="C21" i="7"/>
  <c r="C17" i="7"/>
  <c r="C12" i="7"/>
  <c r="C13" i="7"/>
  <c r="O23" i="3"/>
  <c r="O26" i="3"/>
  <c r="O24" i="22"/>
  <c r="O23" i="22"/>
  <c r="O29" i="22"/>
  <c r="O39" i="3"/>
  <c r="E280" i="1"/>
  <c r="E281" i="1" s="1"/>
  <c r="D252" i="1"/>
  <c r="B31" i="7" l="1"/>
  <c r="D31" i="7"/>
  <c r="E47" i="3"/>
  <c r="O28" i="3"/>
  <c r="E48" i="3" l="1"/>
  <c r="E50" i="3" s="1"/>
  <c r="C47" i="3"/>
  <c r="D47" i="3" s="1"/>
  <c r="H10" i="3"/>
  <c r="H13" i="3" s="1"/>
  <c r="O35" i="3"/>
  <c r="O38" i="3" s="1"/>
  <c r="C25" i="7" l="1"/>
  <c r="D48" i="3"/>
  <c r="I29" i="5"/>
  <c r="I20" i="5"/>
  <c r="I22" i="5"/>
  <c r="B22" i="5" s="1"/>
  <c r="I28" i="5"/>
  <c r="C48" i="3"/>
  <c r="C284" i="1"/>
  <c r="H17" i="3"/>
  <c r="H18" i="3" s="1"/>
  <c r="C285" i="1"/>
  <c r="I25" i="5" l="1"/>
  <c r="B25" i="7"/>
  <c r="A53" i="22"/>
  <c r="O25" i="22"/>
  <c r="O31" i="22"/>
  <c r="O32" i="22" s="1"/>
  <c r="B20" i="5"/>
  <c r="D90" i="1"/>
  <c r="H22" i="8" s="1"/>
  <c r="L86" i="1" l="1"/>
  <c r="L94" i="1" s="1"/>
  <c r="M94" i="1" s="1"/>
  <c r="B50" i="22" l="1"/>
  <c r="L98" i="1"/>
  <c r="F7" i="8"/>
  <c r="N49" i="3" s="1"/>
  <c r="O94" i="1" l="1"/>
  <c r="O98" i="1" s="1"/>
  <c r="M98" i="1"/>
  <c r="G7" i="8"/>
  <c r="K49" i="3" s="1"/>
  <c r="L49" i="3" s="1"/>
  <c r="F11" i="8"/>
  <c r="H43" i="22" l="1"/>
  <c r="G11" i="8"/>
  <c r="H7" i="8"/>
  <c r="J7" i="8" s="1"/>
  <c r="J11" i="8" s="1"/>
  <c r="K43" i="22"/>
  <c r="O49" i="3" l="1"/>
  <c r="O54" i="3" s="1"/>
  <c r="O29" i="3" s="1"/>
  <c r="H11" i="8"/>
  <c r="J14" i="8" s="1"/>
  <c r="J16" i="8" s="1"/>
  <c r="C11" i="23" s="1"/>
  <c r="D11" i="23" s="1"/>
  <c r="H48" i="22"/>
  <c r="D91" i="1" l="1"/>
  <c r="F11" i="23"/>
  <c r="F24" i="23" s="1"/>
  <c r="O32" i="3"/>
  <c r="C12" i="23"/>
  <c r="D12" i="23" s="1"/>
  <c r="G12" i="23" l="1"/>
  <c r="G24" i="23" s="1"/>
  <c r="R43" i="22"/>
  <c r="R48" i="22" s="1"/>
  <c r="Y48" i="22" s="1"/>
  <c r="K48" i="22"/>
</calcChain>
</file>

<file path=xl/comments1.xml><?xml version="1.0" encoding="utf-8"?>
<comments xmlns="http://schemas.openxmlformats.org/spreadsheetml/2006/main">
  <authors>
    <author>Nicole Flagg</author>
    <author>Danielle Jovanovich</author>
  </authors>
  <commentList>
    <comment ref="G4" authorId="0" shapeId="0">
      <text>
        <r>
          <rPr>
            <b/>
            <sz val="9"/>
            <color indexed="81"/>
            <rFont val="Tahoma"/>
            <family val="2"/>
          </rPr>
          <t>Nicole Flagg:</t>
        </r>
        <r>
          <rPr>
            <sz val="9"/>
            <color indexed="81"/>
            <rFont val="Tahoma"/>
            <family val="2"/>
          </rPr>
          <t xml:space="preserve">
Unhide columns if more FAs</t>
        </r>
      </text>
    </comment>
    <comment ref="C7" authorId="1" shapeId="0">
      <text>
        <r>
          <rPr>
            <b/>
            <sz val="9"/>
            <color indexed="81"/>
            <rFont val="Tahoma"/>
            <family val="2"/>
          </rPr>
          <t>Enter total award amount</t>
        </r>
      </text>
    </comment>
    <comment ref="V7" authorId="1" shapeId="0">
      <text>
        <r>
          <rPr>
            <b/>
            <sz val="9"/>
            <color indexed="81"/>
            <rFont val="Tahoma"/>
            <family val="2"/>
          </rPr>
          <t>Enter BCF from prior budget GABS sheet.</t>
        </r>
        <r>
          <rPr>
            <sz val="9"/>
            <color indexed="81"/>
            <rFont val="Tahoma"/>
            <family val="2"/>
          </rPr>
          <t xml:space="preserve">
</t>
        </r>
      </text>
    </comment>
    <comment ref="C9" authorId="1" shapeId="0">
      <text>
        <r>
          <rPr>
            <b/>
            <sz val="9"/>
            <color indexed="81"/>
            <rFont val="Tahoma"/>
            <family val="2"/>
          </rPr>
          <t>Enter direct award amount, as stated on award.</t>
        </r>
      </text>
    </comment>
    <comment ref="X9" authorId="0" shapeId="0">
      <text>
        <r>
          <rPr>
            <b/>
            <sz val="9"/>
            <color indexed="81"/>
            <rFont val="Tahoma"/>
            <family val="2"/>
          </rPr>
          <t>Nicole Flagg:</t>
        </r>
        <r>
          <rPr>
            <sz val="9"/>
            <color indexed="81"/>
            <rFont val="Tahoma"/>
            <family val="2"/>
          </rPr>
          <t xml:space="preserve">
Nancy Linde:
Input total amount from GrantTracker or get the update figures from CATs' group  - interest usually accural late June or early July</t>
        </r>
      </text>
    </comment>
    <comment ref="C10" authorId="1" shapeId="0">
      <text>
        <r>
          <rPr>
            <b/>
            <sz val="9"/>
            <color indexed="81"/>
            <rFont val="Tahoma"/>
            <family val="2"/>
          </rPr>
          <t>Enter indirect award amount, as stated on award.</t>
        </r>
        <r>
          <rPr>
            <sz val="9"/>
            <color indexed="81"/>
            <rFont val="Tahoma"/>
            <family val="2"/>
          </rPr>
          <t xml:space="preserve">
</t>
        </r>
      </text>
    </comment>
    <comment ref="Y12" authorId="1" shapeId="0">
      <text>
        <r>
          <rPr>
            <b/>
            <sz val="9"/>
            <color indexed="81"/>
            <rFont val="Tahoma"/>
            <family val="2"/>
          </rPr>
          <t>Should match total award and revenue from Grant Tracker.</t>
        </r>
        <r>
          <rPr>
            <sz val="9"/>
            <color indexed="81"/>
            <rFont val="Tahoma"/>
            <family val="2"/>
          </rPr>
          <t xml:space="preserve">
</t>
        </r>
      </text>
    </comment>
    <comment ref="C14" authorId="1" shapeId="0">
      <text>
        <r>
          <rPr>
            <b/>
            <sz val="9"/>
            <color indexed="81"/>
            <rFont val="Tahoma"/>
            <family val="2"/>
          </rPr>
          <t>Enter reference to page number on award doc listing restrictions/report notes</t>
        </r>
        <r>
          <rPr>
            <sz val="9"/>
            <color indexed="81"/>
            <rFont val="Tahoma"/>
            <family val="2"/>
          </rPr>
          <t xml:space="preserve">
</t>
        </r>
      </text>
    </comment>
  </commentList>
</comments>
</file>

<file path=xl/sharedStrings.xml><?xml version="1.0" encoding="utf-8"?>
<sst xmlns="http://schemas.openxmlformats.org/spreadsheetml/2006/main" count="1162" uniqueCount="732">
  <si>
    <t xml:space="preserve">NAME: </t>
  </si>
  <si>
    <t xml:space="preserve">TITLE: </t>
  </si>
  <si>
    <t xml:space="preserve">AUTH SIGNATURE: </t>
  </si>
  <si>
    <t xml:space="preserve">CERTIFYING OFFICIAL:  </t>
  </si>
  <si>
    <t xml:space="preserve">INITIALS:  </t>
  </si>
  <si>
    <t>SC</t>
  </si>
  <si>
    <t>DO NOT ENTER IN THIS CELL</t>
  </si>
  <si>
    <t>ENTER IN THIS CELL</t>
  </si>
  <si>
    <t>ENTER IN THIS CELL TO OVERRIDE FORMULA</t>
  </si>
  <si>
    <t>CHECK FIGURE</t>
  </si>
  <si>
    <t>SM3400</t>
  </si>
  <si>
    <t xml:space="preserve"> </t>
  </si>
  <si>
    <t>DOWNLOADED FROM FIN</t>
  </si>
  <si>
    <t xml:space="preserve">Budget Number  </t>
  </si>
  <si>
    <t xml:space="preserve">Continuation Budget  </t>
  </si>
  <si>
    <t xml:space="preserve">Prior Budget  </t>
  </si>
  <si>
    <t xml:space="preserve">IC Rate  </t>
  </si>
  <si>
    <t xml:space="preserve">IC Base  </t>
  </si>
  <si>
    <t xml:space="preserve">Agency  </t>
  </si>
  <si>
    <t xml:space="preserve">Budget Name  </t>
  </si>
  <si>
    <t xml:space="preserve">Budget Period Start Date  </t>
  </si>
  <si>
    <t xml:space="preserve"> INTEREST INCOME: NO      ENDOWMENTS:NO          CEF UNITS:</t>
  </si>
  <si>
    <t xml:space="preserve">Budget Period End Date  </t>
  </si>
  <si>
    <t xml:space="preserve">Project Period Start Date  </t>
  </si>
  <si>
    <t xml:space="preserve">Project Period End Date  </t>
  </si>
  <si>
    <t xml:space="preserve">Grant Number  </t>
  </si>
  <si>
    <t xml:space="preserve">Document Number  </t>
  </si>
  <si>
    <t xml:space="preserve">Cost Sharing (Y/N)  </t>
  </si>
  <si>
    <t xml:space="preserve">Department Name  </t>
  </si>
  <si>
    <t xml:space="preserve">Department Box Number  </t>
  </si>
  <si>
    <t xml:space="preserve">Principal Investigator  </t>
  </si>
  <si>
    <t xml:space="preserve">Revenue Code  </t>
  </si>
  <si>
    <t xml:space="preserve">                        SELECT OPTIONS AND PRESS SEND</t>
  </si>
  <si>
    <t xml:space="preserve">Next Grant Year  </t>
  </si>
  <si>
    <t>1=MAIN 2=PREV  3=MENU 4=INFO 5=STATUS 6=ENCUMB 7=SUMMARY 8=TRN LIST 9=TRANS</t>
  </si>
  <si>
    <t xml:space="preserve">Exp Auth Flag  </t>
  </si>
  <si>
    <t>CHECK THESE FIGURES</t>
  </si>
  <si>
    <t xml:space="preserve">Program Income  </t>
  </si>
  <si>
    <t xml:space="preserve">Expanded Authority  </t>
  </si>
  <si>
    <t xml:space="preserve">Indirect Cost Rate  </t>
  </si>
  <si>
    <t xml:space="preserve">Unobligated Bal. From Prior Budget Periods -    </t>
  </si>
  <si>
    <t xml:space="preserve">Note in Tickler File  </t>
  </si>
  <si>
    <t xml:space="preserve">Trial Balance </t>
  </si>
  <si>
    <t xml:space="preserve">Total Budget Allocation </t>
  </si>
  <si>
    <t>Patient Care (03-27, 03-32)</t>
  </si>
  <si>
    <t>IDC</t>
  </si>
  <si>
    <t>Total</t>
  </si>
  <si>
    <t xml:space="preserve">Total </t>
  </si>
  <si>
    <t xml:space="preserve">  Total Exemptions: </t>
  </si>
  <si>
    <t>most recent first</t>
  </si>
  <si>
    <t>Rate</t>
  </si>
  <si>
    <t>Expenditures</t>
  </si>
  <si>
    <t>Exemptions</t>
  </si>
  <si>
    <t xml:space="preserve">IDC Adjustment  </t>
  </si>
  <si>
    <t>FROM PRIOR GABS</t>
  </si>
  <si>
    <t xml:space="preserve">Addt'l Funding - Direct  </t>
  </si>
  <si>
    <t xml:space="preserve">Addt'l Funding - Indirect  </t>
  </si>
  <si>
    <t xml:space="preserve">Out. Obs. - Direct  </t>
  </si>
  <si>
    <t>Period</t>
  </si>
  <si>
    <t>Total Expenditures</t>
  </si>
  <si>
    <t xml:space="preserve">Total I/C </t>
  </si>
  <si>
    <t>I/C Exclusions</t>
  </si>
  <si>
    <t xml:space="preserve">Out. Obs. - Indirect  </t>
  </si>
  <si>
    <t>From</t>
  </si>
  <si>
    <t>To</t>
  </si>
  <si>
    <t xml:space="preserve"> for period</t>
  </si>
  <si>
    <t>for period</t>
  </si>
  <si>
    <t xml:space="preserve">Restricted carried forward  </t>
  </si>
  <si>
    <t xml:space="preserve">  Total: </t>
  </si>
  <si>
    <t>Previous report grantee carryover request check figure</t>
  </si>
  <si>
    <t xml:space="preserve">Total Direct Costs  </t>
  </si>
  <si>
    <t xml:space="preserve">Total Indirect Costs  </t>
  </si>
  <si>
    <t xml:space="preserve">Total  </t>
  </si>
  <si>
    <t xml:space="preserve">New Funding  </t>
  </si>
  <si>
    <t>COMING CHARGES</t>
  </si>
  <si>
    <t>Direct</t>
  </si>
  <si>
    <t>Indirect</t>
  </si>
  <si>
    <t xml:space="preserve">Total Coming Charges  </t>
  </si>
  <si>
    <t xml:space="preserve">Total Coming Charges Exempt for Indirect Cost  </t>
  </si>
  <si>
    <t>COMING CREDITS</t>
  </si>
  <si>
    <t xml:space="preserve">Total Coming Credits  </t>
  </si>
  <si>
    <t xml:space="preserve">Total Coming Credits Exempt for Indirect Cost  </t>
  </si>
  <si>
    <t>THE FOLLOWING MUST BE FILLED OUT FOR COMPETING GRANTS</t>
  </si>
  <si>
    <t>THE FOLLOWING MUST BE FILLED OUT FOR NON-COMPETING GRANTS</t>
  </si>
  <si>
    <t>PROGRAM INCOME INFORMATION</t>
  </si>
  <si>
    <t>TOTAL PROGRAM INCOME REALIZED</t>
  </si>
  <si>
    <t>DISBURSED PROGRAM INCOME</t>
  </si>
  <si>
    <t>UNDISBURSED PROGRAM INCOME</t>
  </si>
  <si>
    <t>COST SHARING INFORMATION</t>
  </si>
  <si>
    <t xml:space="preserve">GABS Adjustment  </t>
  </si>
  <si>
    <t xml:space="preserve">Minority Supplement Amount  </t>
  </si>
  <si>
    <t xml:space="preserve">Unexpended Patient Care  </t>
  </si>
  <si>
    <t>Unallowable Charges</t>
  </si>
  <si>
    <t xml:space="preserve">TO THE UNALLOWABLE CHARGES WORKSHEET  </t>
  </si>
  <si>
    <t>(UNALCHRG.XLS) IF THERE ARE ANY UNALLOW-</t>
  </si>
  <si>
    <t>ABLE CHARGES (PASTE SPECIAL - VALUES ONLY)</t>
  </si>
  <si>
    <t>SUBTOTAL:</t>
  </si>
  <si>
    <t>EXEMPT (from I/C)</t>
  </si>
  <si>
    <t>TOTAL</t>
  </si>
  <si>
    <t>OUTSTANDING OBLIGATIONS</t>
  </si>
  <si>
    <t>t</t>
  </si>
  <si>
    <t xml:space="preserve">DIRECTIONS:   Please enter the Reason Code in the FUNDED  </t>
  </si>
  <si>
    <t>REASON CODE</t>
  </si>
  <si>
    <t xml:space="preserve">Column below if the Outstanding Obligation will not be funded  </t>
  </si>
  <si>
    <t>Reasons Requisitions Were Not Funded</t>
  </si>
  <si>
    <t>SO</t>
  </si>
  <si>
    <t>Standing Order</t>
  </si>
  <si>
    <t>AMOUNT</t>
  </si>
  <si>
    <t>OBJECT CODE</t>
  </si>
  <si>
    <t>FUNDED</t>
  </si>
  <si>
    <t>MC</t>
  </si>
  <si>
    <t>Maintenance Contract</t>
  </si>
  <si>
    <t>Service Contract</t>
  </si>
  <si>
    <t>EA</t>
  </si>
  <si>
    <t>Encumbered After End Date</t>
  </si>
  <si>
    <t>CA</t>
  </si>
  <si>
    <t>Checking Account</t>
  </si>
  <si>
    <t>LP</t>
  </si>
  <si>
    <t>Liquidation in Process</t>
  </si>
  <si>
    <t>DR</t>
  </si>
  <si>
    <t>Dollar Requisition *</t>
  </si>
  <si>
    <t>FA</t>
  </si>
  <si>
    <t>Field Advance</t>
  </si>
  <si>
    <t>*</t>
  </si>
  <si>
    <t xml:space="preserve">Exempt from IDC  </t>
  </si>
  <si>
    <t>Subtotal of Outstanding Obligations</t>
  </si>
  <si>
    <t xml:space="preserve"> * Requisitions not Funded</t>
  </si>
  <si>
    <t>Subtotal (Requisitions Funded)</t>
  </si>
  <si>
    <t>Exempt from IDC</t>
  </si>
  <si>
    <t>Base</t>
  </si>
  <si>
    <t>Total Outstanding Obligations</t>
  </si>
  <si>
    <t>FUNDS AVAILABLE</t>
  </si>
  <si>
    <t xml:space="preserve"> BGT  REC BALANCE</t>
  </si>
  <si>
    <t>OUTSTANDING OBLIGATIONS CARRIED TO THE GABS SHEET</t>
  </si>
  <si>
    <t>OVERRIDE HERE IF BALANCE WILL NOT COVER OUTSTANDING OBLIGATIONS</t>
  </si>
  <si>
    <t xml:space="preserve"> 01-50  Stipends</t>
  </si>
  <si>
    <t xml:space="preserve"> 01-90  Stipends</t>
  </si>
  <si>
    <t xml:space="preserve"> 02-00 Contr. Pers. Services</t>
  </si>
  <si>
    <t xml:space="preserve"> 03-00 Contr. Services</t>
  </si>
  <si>
    <t xml:space="preserve"> 03-62 Subcontract</t>
  </si>
  <si>
    <t xml:space="preserve"> 04-00 Travel</t>
  </si>
  <si>
    <t xml:space="preserve"> 05-00 Supplies</t>
  </si>
  <si>
    <t xml:space="preserve"> 06-00 Equipment</t>
  </si>
  <si>
    <t xml:space="preserve"> 07-00 Tuition &amp; Fees</t>
  </si>
  <si>
    <t xml:space="preserve"> 08-02  Stipends</t>
  </si>
  <si>
    <t xml:space="preserve"> 08-05 Tuition &amp; Fees</t>
  </si>
  <si>
    <t xml:space="preserve"> 25-99 Indirect Costs</t>
  </si>
  <si>
    <t>INDIRECT COST CHECK (USE FOR EDUCATION &amp; NOAA)</t>
  </si>
  <si>
    <t xml:space="preserve">SPONSOR  </t>
  </si>
  <si>
    <t xml:space="preserve">TOTAL AWARDED INDIRECT COSTS  </t>
  </si>
  <si>
    <t xml:space="preserve">TOTAL EXPENDED INDIRECT COSTS  </t>
  </si>
  <si>
    <t xml:space="preserve">IDC BALANCE  </t>
  </si>
  <si>
    <t xml:space="preserve">OVERALL BALANCE  </t>
  </si>
  <si>
    <t xml:space="preserve">RESTRICTED IDC BALANCE  </t>
  </si>
  <si>
    <t>REPORT REMARKS</t>
  </si>
  <si>
    <t xml:space="preserve">Department/Project Title  </t>
  </si>
  <si>
    <t xml:space="preserve">Title  </t>
  </si>
  <si>
    <t xml:space="preserve">Sponsor  </t>
  </si>
  <si>
    <t xml:space="preserve">Unrestricted Funds  </t>
  </si>
  <si>
    <t xml:space="preserve">THE END! </t>
  </si>
  <si>
    <t>Prepared By:</t>
  </si>
  <si>
    <t>BUDGET INFORMATION</t>
  </si>
  <si>
    <t>TRIAL BALANCE RECONCILIATION</t>
  </si>
  <si>
    <t>BUDGET</t>
  </si>
  <si>
    <t>Trial Balance</t>
  </si>
  <si>
    <t xml:space="preserve">Dates  </t>
  </si>
  <si>
    <t xml:space="preserve">REVIEW CHECK FIGURES </t>
  </si>
  <si>
    <t xml:space="preserve">IDC Rate  </t>
  </si>
  <si>
    <t>BCF as Outstanding Obligations</t>
  </si>
  <si>
    <t xml:space="preserve">Continuation IDC Rate  </t>
  </si>
  <si>
    <t>BCF as Additional Funding</t>
  </si>
  <si>
    <t xml:space="preserve">Line 12B-Released funds  </t>
  </si>
  <si>
    <t>BCF as Restricted</t>
  </si>
  <si>
    <t>CLS to Awards Receivable</t>
  </si>
  <si>
    <t xml:space="preserve">Award  </t>
  </si>
  <si>
    <t>Balance</t>
  </si>
  <si>
    <t xml:space="preserve">Previous Budget Out. Obs.  </t>
  </si>
  <si>
    <t xml:space="preserve">Previous Bgt Carryover Rqst  </t>
  </si>
  <si>
    <t>REVENUE</t>
  </si>
  <si>
    <t xml:space="preserve">Previous Budget Restricted  </t>
  </si>
  <si>
    <t xml:space="preserve">Cost Sharing  </t>
  </si>
  <si>
    <t xml:space="preserve">Total Funds Available  </t>
  </si>
  <si>
    <t xml:space="preserve">P.I.  </t>
  </si>
  <si>
    <t>JV</t>
  </si>
  <si>
    <t xml:space="preserve">GABS Adjustment Needed  </t>
  </si>
  <si>
    <t>BUDGET RECONCILIATION</t>
  </si>
  <si>
    <t>EXPENDITURES</t>
  </si>
  <si>
    <t xml:space="preserve">Reconciliation Balance  </t>
  </si>
  <si>
    <t>DIRECT</t>
  </si>
  <si>
    <t>INDIRECT</t>
  </si>
  <si>
    <t>Coming Charges</t>
  </si>
  <si>
    <t xml:space="preserve">Trial Balance Reconciliation  </t>
  </si>
  <si>
    <t>Awarded</t>
  </si>
  <si>
    <t>Coming Credits</t>
  </si>
  <si>
    <t>Out. Obs.</t>
  </si>
  <si>
    <t>Offset</t>
  </si>
  <si>
    <t>Addt'l Funds</t>
  </si>
  <si>
    <t>Offset idc</t>
  </si>
  <si>
    <t xml:space="preserve">Cost-Sharing Reported this period  </t>
  </si>
  <si>
    <t>Restricted</t>
  </si>
  <si>
    <t xml:space="preserve">---  </t>
  </si>
  <si>
    <t>Penny Offset</t>
  </si>
  <si>
    <t xml:space="preserve">Federal Share of Outlays  </t>
  </si>
  <si>
    <t>Total Bud/Rev</t>
  </si>
  <si>
    <t xml:space="preserve">FSR Expenditures Check Total  </t>
  </si>
  <si>
    <t xml:space="preserve">Report Plug Figure  </t>
  </si>
  <si>
    <t>C. Charges</t>
  </si>
  <si>
    <t xml:space="preserve">Prepared by </t>
  </si>
  <si>
    <t xml:space="preserve">Indirect Cost Difference  </t>
  </si>
  <si>
    <t>C. Credits</t>
  </si>
  <si>
    <t xml:space="preserve">Date </t>
  </si>
  <si>
    <t>Exp. Sub-Total</t>
  </si>
  <si>
    <t xml:space="preserve">Outstanding Obligations  </t>
  </si>
  <si>
    <t>Bal. Sub-Total</t>
  </si>
  <si>
    <t xml:space="preserve">Check Indirect Costs </t>
  </si>
  <si>
    <t>RESTRICTED FUNDS</t>
  </si>
  <si>
    <t xml:space="preserve">Non-Expanded Authority/Other </t>
  </si>
  <si>
    <t xml:space="preserve">Restricted Funds  </t>
  </si>
  <si>
    <t xml:space="preserve">Minority Supplement Amount </t>
  </si>
  <si>
    <t xml:space="preserve">Return to Awards Rec  </t>
  </si>
  <si>
    <t>Deficit</t>
  </si>
  <si>
    <t xml:space="preserve">Unexpended Patient Care </t>
  </si>
  <si>
    <t xml:space="preserve">Revenue JV Amount  </t>
  </si>
  <si>
    <t xml:space="preserve">Prepare Journal Voucher </t>
  </si>
  <si>
    <t xml:space="preserve">Restricted from Prior Periods </t>
  </si>
  <si>
    <t xml:space="preserve">GABS Reduction  </t>
  </si>
  <si>
    <t>Exp. Total</t>
  </si>
  <si>
    <t xml:space="preserve">Enter Budget Transactions (GABS) </t>
  </si>
  <si>
    <t>Balance Total</t>
  </si>
  <si>
    <t xml:space="preserve">Prepare Grantor Letter </t>
  </si>
  <si>
    <t xml:space="preserve">Prepare PI Letter </t>
  </si>
  <si>
    <t>Unobligated Bal.</t>
  </si>
  <si>
    <t>Date</t>
  </si>
  <si>
    <t xml:space="preserve">Grantee Carryover Request (10X)    </t>
  </si>
  <si>
    <t xml:space="preserve">Restricted Funds    </t>
  </si>
  <si>
    <t xml:space="preserve">Deficit    </t>
  </si>
  <si>
    <t xml:space="preserve">Returned to Awards Receivable  </t>
  </si>
  <si>
    <t xml:space="preserve">TRANSFERRED FROM BUDGET NUMBER:    </t>
  </si>
  <si>
    <t xml:space="preserve">TRANSFERRED TO BUDGET NUMBER:    </t>
  </si>
  <si>
    <t>Reasons Requisitions were not Approved for Funding</t>
  </si>
  <si>
    <t xml:space="preserve"> * Requisitions not approved for funding</t>
  </si>
  <si>
    <t>TE</t>
  </si>
  <si>
    <t>Travel after End Date</t>
  </si>
  <si>
    <t>Subtotal (requisitions approved for funding)</t>
  </si>
  <si>
    <t>Indirect Costs</t>
  </si>
  <si>
    <t>Total Approved Outstanding Obligations</t>
  </si>
  <si>
    <t>* Submit Status Action Request</t>
  </si>
  <si>
    <t>AMOUNT AVAILABLE TO FUND</t>
  </si>
  <si>
    <t>Form to liquidate if necessary.</t>
  </si>
  <si>
    <t>APPROVED OUTSTANDING OBLIGATIONS</t>
  </si>
  <si>
    <t>NOTE:  Any requisition listed below without a "Requisi-</t>
  </si>
  <si>
    <t xml:space="preserve">sition Description" has been carried forward from a </t>
  </si>
  <si>
    <t>Detail of Outstanding Obligations</t>
  </si>
  <si>
    <t xml:space="preserve"> prior year and may need to be liquidated.</t>
  </si>
  <si>
    <t>Object</t>
  </si>
  <si>
    <t>Requisition</t>
  </si>
  <si>
    <t>Approved to</t>
  </si>
  <si>
    <t>Reason not</t>
  </si>
  <si>
    <t>Code</t>
  </si>
  <si>
    <t>Number</t>
  </si>
  <si>
    <t>Description</t>
  </si>
  <si>
    <t>Encumbered</t>
  </si>
  <si>
    <t>be Funded</t>
  </si>
  <si>
    <t>Approved</t>
  </si>
  <si>
    <t>01-50 Stipends</t>
  </si>
  <si>
    <t>01-90 Pre-Doc Stipends</t>
  </si>
  <si>
    <t>02-00 Contr Pers Serv.</t>
  </si>
  <si>
    <t>03-00 Contr. Services</t>
  </si>
  <si>
    <t>03-62 Subcontract</t>
  </si>
  <si>
    <t>04-00 Travel</t>
  </si>
  <si>
    <t>05-00 Supplies</t>
  </si>
  <si>
    <t>06-00 Equipment</t>
  </si>
  <si>
    <t>07 Tuition &amp; Fees</t>
  </si>
  <si>
    <t>08-02 Stipends</t>
  </si>
  <si>
    <t>08-05 Tuition &amp; Fees</t>
  </si>
  <si>
    <t>GABS</t>
  </si>
  <si>
    <t>Grant Automated Budget System</t>
  </si>
  <si>
    <t>Budget #</t>
  </si>
  <si>
    <t xml:space="preserve">Budget Title </t>
  </si>
  <si>
    <t>Budget Classification</t>
  </si>
  <si>
    <t>Obj</t>
  </si>
  <si>
    <t>Sub</t>
  </si>
  <si>
    <t>Amount</t>
  </si>
  <si>
    <t>SALARIES AND WAGES</t>
  </si>
  <si>
    <t>01</t>
  </si>
  <si>
    <t>50</t>
  </si>
  <si>
    <t>PRE-DOC STIPENDS</t>
  </si>
  <si>
    <t>90</t>
  </si>
  <si>
    <t>CONTR PERSONAL SERV.</t>
  </si>
  <si>
    <t>02</t>
  </si>
  <si>
    <t>OTHER CONTR SERV.</t>
  </si>
  <si>
    <t>03</t>
  </si>
  <si>
    <t>SUB-CONTRACT</t>
  </si>
  <si>
    <t>62</t>
  </si>
  <si>
    <t>TRAVEL</t>
  </si>
  <si>
    <t>04</t>
  </si>
  <si>
    <t>SUPPLIES &amp; MATERIALS</t>
  </si>
  <si>
    <t>05</t>
  </si>
  <si>
    <t>EQUIPMENT</t>
  </si>
  <si>
    <t>06</t>
  </si>
  <si>
    <t>RETIREMENT &amp; BENEFITS</t>
  </si>
  <si>
    <t>07</t>
  </si>
  <si>
    <t>STIPENDS</t>
  </si>
  <si>
    <t>08</t>
  </si>
  <si>
    <t>TUTITION &amp; FEES</t>
  </si>
  <si>
    <t>INDIRECT COST</t>
  </si>
  <si>
    <t>25</t>
  </si>
  <si>
    <t>99</t>
  </si>
  <si>
    <t>37</t>
  </si>
  <si>
    <t>UNALLOCATED EXP. BUDGET</t>
  </si>
  <si>
    <t>38</t>
  </si>
  <si>
    <t>Explanation</t>
  </si>
  <si>
    <t>Summary</t>
  </si>
  <si>
    <t xml:space="preserve">Addt'l Funding - Direct </t>
  </si>
  <si>
    <t xml:space="preserve">Addt'l Funding - Indirect </t>
  </si>
  <si>
    <t xml:space="preserve">Out. Obligations - Direct </t>
  </si>
  <si>
    <t xml:space="preserve">Out. Obligations - Indirect </t>
  </si>
  <si>
    <t>37 ENC</t>
  </si>
  <si>
    <t xml:space="preserve">Restricted Funds </t>
  </si>
  <si>
    <t>Prepared by</t>
  </si>
  <si>
    <t>Attachments</t>
  </si>
  <si>
    <t>INDIRECT COST ADJUSTMENT</t>
  </si>
  <si>
    <t>BUDGET NUMBER:</t>
  </si>
  <si>
    <t>BASE:</t>
  </si>
  <si>
    <t>TIME PERIOD</t>
  </si>
  <si>
    <t>RATE</t>
  </si>
  <si>
    <t>DIR COST</t>
  </si>
  <si>
    <t>* EXEMPTIONS</t>
  </si>
  <si>
    <t>BASE</t>
  </si>
  <si>
    <t>DIFFERENCE:</t>
  </si>
  <si>
    <t>* EXEMPTIONS INCLUDE:</t>
  </si>
  <si>
    <t>CALCULATED</t>
  </si>
  <si>
    <t>CHARGED</t>
  </si>
  <si>
    <t>I.C. ADJ.</t>
  </si>
  <si>
    <t xml:space="preserve">  Total Exemptions:</t>
  </si>
  <si>
    <t>J.V. DATE &amp; NUMBER</t>
  </si>
  <si>
    <t>UNIVERSITY OF WASHINGTON</t>
  </si>
  <si>
    <t>JOURNAL VOUCHER</t>
  </si>
  <si>
    <t>Date Prepared:</t>
  </si>
  <si>
    <t>Please send copy to:</t>
  </si>
  <si>
    <t>Authorized Signature:</t>
  </si>
  <si>
    <t>Box Number:</t>
  </si>
  <si>
    <t>Budget No.</t>
  </si>
  <si>
    <t>Obj./Sub</t>
  </si>
  <si>
    <t>Project</t>
  </si>
  <si>
    <t>Debit</t>
  </si>
  <si>
    <t xml:space="preserve">     Credit</t>
  </si>
  <si>
    <t>1)</t>
  </si>
  <si>
    <t>TOTAL:</t>
  </si>
  <si>
    <t>EXPLANATION</t>
  </si>
  <si>
    <t>:</t>
  </si>
  <si>
    <t>/wgzy</t>
  </si>
  <si>
    <t>/aiallways~</t>
  </si>
  <si>
    <t>/fccn{?}~descrip.wk1~</t>
  </si>
  <si>
    <t>/fccn{?}~explain.wk1~</t>
  </si>
  <si>
    <t xml:space="preserve">  "  "</t>
  </si>
  <si>
    <t>/cay110~~</t>
  </si>
  <si>
    <t>X</t>
  </si>
  <si>
    <t>GAO Approval:</t>
  </si>
  <si>
    <t>Department/Project Title:</t>
  </si>
  <si>
    <t>5.  Recipient Account Number or Identifying Number</t>
  </si>
  <si>
    <t>University of Washington</t>
  </si>
  <si>
    <t>Cash</t>
  </si>
  <si>
    <t>Accrual</t>
  </si>
  <si>
    <t>Final</t>
  </si>
  <si>
    <t>b. Rate</t>
  </si>
  <si>
    <t xml:space="preserve">Unobligated Balance (10P)  </t>
  </si>
  <si>
    <t xml:space="preserve">Total Outlays this Rpt Prd (10A)  </t>
  </si>
  <si>
    <t>Expenditure Check:</t>
  </si>
  <si>
    <t>Indirect Cost</t>
  </si>
  <si>
    <t>Exempt</t>
  </si>
  <si>
    <t>Sub-Total</t>
  </si>
  <si>
    <t xml:space="preserve">     to Which Report is Submitted</t>
  </si>
  <si>
    <t>11. Indirect</t>
  </si>
  <si>
    <t/>
  </si>
  <si>
    <t>P.I. Name (First &amp; Last)</t>
  </si>
  <si>
    <t xml:space="preserve">Dept  </t>
  </si>
  <si>
    <t xml:space="preserve">Address  </t>
  </si>
  <si>
    <t xml:space="preserve">City, State Zip  </t>
  </si>
  <si>
    <t>U n i v e r s i t y  o f  W a s h i n g t o n</t>
  </si>
  <si>
    <t>Grant &amp; Contract Accounting</t>
  </si>
  <si>
    <t>questions concerning this report.</t>
  </si>
  <si>
    <t xml:space="preserve">Tuition (08-05) </t>
  </si>
  <si>
    <t xml:space="preserve">Equipment (06) </t>
  </si>
  <si>
    <t xml:space="preserve">Subcontract (03-62) </t>
  </si>
  <si>
    <t xml:space="preserve">Building Rentals (03-80) </t>
  </si>
  <si>
    <t xml:space="preserve">FIN Action 6 - Screen 2 </t>
  </si>
  <si>
    <t xml:space="preserve">FIN Action 6 - Screen 1 </t>
  </si>
  <si>
    <t>Page</t>
  </si>
  <si>
    <t>To:  (Month, Day, Year)</t>
  </si>
  <si>
    <t>Note in Tickler File if not found</t>
  </si>
  <si>
    <t xml:space="preserve">Last day of Current Month </t>
  </si>
  <si>
    <t xml:space="preserve">Enter "a" for Annual, "f" for Final,  or "r" for Revised  </t>
  </si>
  <si>
    <t>Exp. per FD</t>
  </si>
  <si>
    <t>Per FD</t>
  </si>
  <si>
    <t xml:space="preserve">Adjusted FD Balance  </t>
  </si>
  <si>
    <t xml:space="preserve">Current FD Balance  </t>
  </si>
  <si>
    <t>FD AMOUNT</t>
  </si>
  <si>
    <t>FD @: Date</t>
  </si>
  <si>
    <t>Deficit Transfer Budget #</t>
  </si>
  <si>
    <t>Object code from</t>
  </si>
  <si>
    <t xml:space="preserve">Object code to </t>
  </si>
  <si>
    <t>Kirsten DeFries</t>
  </si>
  <si>
    <t>Director of Campus Services, GCA</t>
  </si>
  <si>
    <t>KD</t>
  </si>
  <si>
    <t xml:space="preserve">NEA/FA Amount(s) </t>
  </si>
  <si>
    <t>AWARD INFORMATION</t>
  </si>
  <si>
    <t xml:space="preserve">NEA/FA Amount  </t>
  </si>
  <si>
    <r>
      <t xml:space="preserve">COPY THESE CELLS </t>
    </r>
    <r>
      <rPr>
        <b/>
        <sz val="14"/>
        <rFont val="Calibri"/>
        <family val="2"/>
      </rPr>
      <t>+ + + + + +</t>
    </r>
  </si>
  <si>
    <r>
      <t xml:space="preserve">PASTE SPECIAL HERE  </t>
    </r>
    <r>
      <rPr>
        <sz val="20"/>
        <rFont val="Calibri"/>
        <family val="2"/>
      </rPr>
      <t xml:space="preserve">+ +  </t>
    </r>
  </si>
  <si>
    <r>
      <t xml:space="preserve">PASTE HERE  </t>
    </r>
    <r>
      <rPr>
        <sz val="20"/>
        <rFont val="Calibri"/>
        <family val="2"/>
      </rPr>
      <t xml:space="preserve">+ +  </t>
    </r>
  </si>
  <si>
    <t>059900</t>
  </si>
  <si>
    <t>Did you check the start dates???????</t>
  </si>
  <si>
    <t>FEDERAL FINANCIAL REPORT</t>
  </si>
  <si>
    <t>(Follow form instructions)</t>
  </si>
  <si>
    <t>1.  Federal Agency and Organizational Element</t>
  </si>
  <si>
    <t>2.  Federal Grant or Other Identifying Number Assigned by Federal Agency</t>
  </si>
  <si>
    <t xml:space="preserve"> of</t>
  </si>
  <si>
    <t xml:space="preserve">     (To report multiple grants, use FFR Attachment)</t>
  </si>
  <si>
    <t>pages</t>
  </si>
  <si>
    <t>3.  Recipient Organization (Name and complete address including Zip code)</t>
  </si>
  <si>
    <t xml:space="preserve">4a.  DUNS Number                     </t>
  </si>
  <si>
    <t>4b.  EIN</t>
  </si>
  <si>
    <t>6.  Report Type</t>
  </si>
  <si>
    <t>7.  Basis of Accounting</t>
  </si>
  <si>
    <t xml:space="preserve">      (To report multiple grants, use FFR Attachment)</t>
  </si>
  <si>
    <t>Quarterly</t>
  </si>
  <si>
    <t>Semi-Annual</t>
  </si>
  <si>
    <t>Annual</t>
  </si>
  <si>
    <t>8.  Project/Grant Period</t>
  </si>
  <si>
    <t>9.  Reporting Period End Date</t>
  </si>
  <si>
    <t xml:space="preserve">     From:  (Month, Day, Year)</t>
  </si>
  <si>
    <t>(Month, Day, Year)</t>
  </si>
  <si>
    <t xml:space="preserve">10.  Transactions         </t>
  </si>
  <si>
    <t xml:space="preserve">  Cumulative </t>
  </si>
  <si>
    <t xml:space="preserve">      a.  Cash Receipts </t>
  </si>
  <si>
    <t xml:space="preserve">      b.  Cash Disbursements</t>
  </si>
  <si>
    <t xml:space="preserve">      c.  Cash on Hand (line a minus b)</t>
  </si>
  <si>
    <t>(Use lines d-o for single grant reporting)</t>
  </si>
  <si>
    <t xml:space="preserve">  Federal Expenditures and Unobligated Balance: </t>
  </si>
  <si>
    <t xml:space="preserve">      d.  Total Federal funds authorized </t>
  </si>
  <si>
    <t xml:space="preserve">      e.  Federal share of expenditures </t>
  </si>
  <si>
    <t xml:space="preserve">      f.   Federal share of unliquidated obligations</t>
  </si>
  <si>
    <t xml:space="preserve">      g.  Total Federal share (sum of lines e and f)</t>
  </si>
  <si>
    <t xml:space="preserve">      h.  Unobligated balance of Federal funds (line d minus g)</t>
  </si>
  <si>
    <t xml:space="preserve">   Recipient Share:</t>
  </si>
  <si>
    <t xml:space="preserve">      i.   Total recipient share required </t>
  </si>
  <si>
    <t xml:space="preserve">      j.   Recipient share of expenditures</t>
  </si>
  <si>
    <t xml:space="preserve">     k.  Remaining recipient share to be provided (line i minus j)</t>
  </si>
  <si>
    <t xml:space="preserve">  Program Income:</t>
  </si>
  <si>
    <t xml:space="preserve">     m.  Program income expended in accordance with the deduction alternative</t>
  </si>
  <si>
    <t xml:space="preserve">     n.  Program income expended in accordance with the addition alternative</t>
  </si>
  <si>
    <t xml:space="preserve">     o.  Unexpended program income (line l minus line m or line n)</t>
  </si>
  <si>
    <t xml:space="preserve"> a.  Type   </t>
  </si>
  <si>
    <t>c. Period From</t>
  </si>
  <si>
    <t>Period To</t>
  </si>
  <si>
    <t>d. Base</t>
  </si>
  <si>
    <t>e.  Amount Charged</t>
  </si>
  <si>
    <t>f. Federal Share</t>
  </si>
  <si>
    <t xml:space="preserve">  Expense</t>
  </si>
  <si>
    <t xml:space="preserve">   g. Totals:</t>
  </si>
  <si>
    <t>12.  Remarks:  Attach any explanations deemed necessary or information required by Federal sponsoring agency in compliance with governing legislation:</t>
  </si>
  <si>
    <t>a.  Typed or Printed Name and Title of Authorized Certifying Official</t>
  </si>
  <si>
    <t xml:space="preserve"> c.  Telephone (Area code, number and extension)</t>
  </si>
  <si>
    <t xml:space="preserve"> d.  Email address</t>
  </si>
  <si>
    <t xml:space="preserve">b.  Signature of Authorized Certifying Official </t>
  </si>
  <si>
    <t xml:space="preserve"> e.  Date Report Submitted  (Month, Day, Year)</t>
  </si>
  <si>
    <t xml:space="preserve">  </t>
  </si>
  <si>
    <t>14.  Agency use only:</t>
  </si>
  <si>
    <t>ENCUMB NO    SUMMARIZE OBJECT   DATES ACCT-MO                      REPT PERIOD</t>
  </si>
  <si>
    <t>Prepared by Grant and Contract Accounting</t>
  </si>
  <si>
    <t xml:space="preserve">FA Amount(s) </t>
  </si>
  <si>
    <t>Less Unobligated Balance</t>
  </si>
  <si>
    <t>FROM FUNDING ACTIONS</t>
  </si>
  <si>
    <t>gcahelp@uw.edu</t>
  </si>
  <si>
    <t>206-616-9995</t>
  </si>
  <si>
    <t>Thank You,</t>
  </si>
  <si>
    <t>1) TO TRANSFER OVER-EXPENDITURE TO CONTINUATION BUDGET SINCE THEY BELONG IN THE SAME SEGMENT.</t>
  </si>
  <si>
    <t xml:space="preserve">Prepare Report (Electronic / SF425) </t>
  </si>
  <si>
    <t>IND COST ADJ</t>
  </si>
  <si>
    <t>1) TO ADJUST INDIRECT COSTS PER ATTACHED SCHEDULE.</t>
  </si>
  <si>
    <t>PARENT BUDGET #</t>
  </si>
  <si>
    <t>IDC BUDGET:</t>
  </si>
  <si>
    <t>REVIEW INSTRUCTIONS</t>
  </si>
  <si>
    <t>Sponsor Name matches Sponsor name on FA/PAC</t>
  </si>
  <si>
    <t>Frequency</t>
  </si>
  <si>
    <t>Reporting Period End Date</t>
  </si>
  <si>
    <t>Matches Cash Receipts in GrantTracker or Cash Draw Database (with Receipt Dates through Report Period End date);  PMS (FOP 01) 10a=10b=10e</t>
  </si>
  <si>
    <t>Matches Amount awarded to date</t>
  </si>
  <si>
    <t>Matches MyFD through reporting period end date</t>
  </si>
  <si>
    <t>Matches eFECS</t>
  </si>
  <si>
    <t>Matches eFECS (up to but not exceeding 10i)</t>
  </si>
  <si>
    <t>Reported when there is a 65-xxxx sub budget</t>
  </si>
  <si>
    <t>Matches rates; effective dates/periods</t>
  </si>
  <si>
    <t>CHECK FIGURE below should be $0.00:</t>
  </si>
  <si>
    <t>Verify printed documents support submission method (ex.  draft Commons, hard copy for signature, sponsor letter)</t>
  </si>
  <si>
    <t>EXEMPTIONS:</t>
  </si>
  <si>
    <t>12/24/13: updated links in 11 d,e,f to pull from NIH FSR; merged cells (NF)</t>
  </si>
  <si>
    <t>12/24/13: added Exemptions and input link to auto populate (NF)</t>
  </si>
  <si>
    <t>updated:  12/24/13</t>
  </si>
  <si>
    <t>12/24/13: added Review instructions (NF)</t>
  </si>
  <si>
    <t>3/11/14: updated formula in IDC totals line to include all columns in the cell range</t>
  </si>
  <si>
    <t>(Use lines a-c for single or combined multiple grant reporting)</t>
  </si>
  <si>
    <t>Federal Cash (To report multiple grants separately, also use FFR Attachment):</t>
  </si>
  <si>
    <t xml:space="preserve">    l. Total Federal share of program income earned</t>
  </si>
  <si>
    <t>13. Certification: By signing this report, I certify to the best of my knowledge and belief that the report is true, complete, and accurate, and the expenditures, disbursements and cash receipts are for the purposes and intent set forth in the award documents.  I am aware that any false, fictitious, or fraudulent information may subject me to criminal, civil, or administrative penalties. (U.S. Code, Title 18, Section 1001)</t>
  </si>
  <si>
    <t>Standard Form 425 - Revised 10/11/2011</t>
  </si>
  <si>
    <t>OMB Approval Number: 0348-0061</t>
  </si>
  <si>
    <t>Expiration Date: 2/28/2015</t>
  </si>
  <si>
    <r>
      <rPr>
        <b/>
        <sz val="8"/>
        <rFont val="Arial"/>
        <family val="2"/>
      </rPr>
      <t xml:space="preserve">Paperwork Burden Statement   
</t>
    </r>
    <r>
      <rPr>
        <sz val="8"/>
        <rFont val="Arial"/>
        <family val="2"/>
      </rPr>
      <t>According to the Paperwork Reduction Act, as amended, no persons are required to respond to a collection of information unless it displays a valid OMB Control Number. The valid OMB control number for this information collection is 0348-0061. Public reporting burden for this collection of information is estimated to average 1.5 hours per response, including time for reviewing instructions, searching existing data sources, gathering and maintaining the data needed, and completing and reviewing the collection of information. Send comments regarding the burden estimate or any other aspect of this collection of information, including suggestions for reducing this burden, to the Office of Management and Budget, Paperwork Reduction Project (0348-0061), Washington, DC 20503.</t>
    </r>
  </si>
  <si>
    <t>4/23/14: Updated form to Revision 10/11/2011</t>
  </si>
  <si>
    <t>NOTE: FOR BUDGETS WITH NO IDC</t>
  </si>
  <si>
    <t>Use budget no. 63-9901 instead of 51-1734</t>
  </si>
  <si>
    <t xml:space="preserve">Obj./Sub for both budgets is 05-99-00 </t>
  </si>
  <si>
    <t>FROM AWARD DOCUMENTS</t>
  </si>
  <si>
    <t xml:space="preserve"> FROM CONTINUATION AWARD</t>
  </si>
  <si>
    <t>FROM MYFINANCIAL DESKTOP (MYFD)</t>
  </si>
  <si>
    <t xml:space="preserve">MYFD Cumulative Direct Cost </t>
  </si>
  <si>
    <t xml:space="preserve">MYFD Total Indirect Cost </t>
  </si>
  <si>
    <t>Previous report unliquidated obligations check figure (Line 10F)</t>
  </si>
  <si>
    <t xml:space="preserve">Current FIN 5/MyFD Total Expenditures should be ..... </t>
  </si>
  <si>
    <t>FINAL CHECK</t>
  </si>
  <si>
    <t>Research Storage C&amp;C (03-04)</t>
  </si>
  <si>
    <t>Type</t>
  </si>
  <si>
    <t>Grand Total:</t>
  </si>
  <si>
    <t>PASTE FIN 4 HERE ---------------------&gt;</t>
  </si>
  <si>
    <r>
      <rPr>
        <b/>
        <sz val="12"/>
        <rFont val="Calibri"/>
        <family val="2"/>
      </rPr>
      <t xml:space="preserve">Mailing Address:  </t>
    </r>
    <r>
      <rPr>
        <b/>
        <sz val="11"/>
        <rFont val="Calibri"/>
        <family val="2"/>
      </rPr>
      <t xml:space="preserve">  </t>
    </r>
    <r>
      <rPr>
        <sz val="11"/>
        <rFont val="Calibri"/>
        <family val="2"/>
      </rPr>
      <t xml:space="preserve">Grant Specialist  </t>
    </r>
  </si>
  <si>
    <t>Do NOT include cost share types: A, K, C</t>
  </si>
  <si>
    <r>
      <rPr>
        <sz val="14"/>
        <color rgb="FF0000FF"/>
        <rFont val="Calibri"/>
        <family val="2"/>
      </rPr>
      <t>NIH Non-Competing</t>
    </r>
    <r>
      <rPr>
        <b/>
        <sz val="14"/>
        <color rgb="FF0000FF"/>
        <rFont val="Calibri"/>
        <family val="2"/>
      </rPr>
      <t xml:space="preserve"> SEGMENTS = </t>
    </r>
    <r>
      <rPr>
        <sz val="14"/>
        <color rgb="FF0000FF"/>
        <rFont val="Calibri"/>
        <family val="2"/>
      </rPr>
      <t>original FA or renewal #</t>
    </r>
    <r>
      <rPr>
        <b/>
        <sz val="14"/>
        <color rgb="FF0000FF"/>
        <rFont val="Calibri"/>
        <family val="2"/>
      </rPr>
      <t xml:space="preserve"> starts with a 5</t>
    </r>
  </si>
  <si>
    <r>
      <rPr>
        <sz val="14"/>
        <color rgb="FF0000FF"/>
        <rFont val="Calibri"/>
        <family val="2"/>
      </rPr>
      <t xml:space="preserve">NIH Competing </t>
    </r>
    <r>
      <rPr>
        <b/>
        <sz val="14"/>
        <color rgb="FF0000FF"/>
        <rFont val="Calibri"/>
        <family val="2"/>
      </rPr>
      <t xml:space="preserve">SEGMENTS = </t>
    </r>
    <r>
      <rPr>
        <sz val="14"/>
        <color rgb="FF0000FF"/>
        <rFont val="Calibri"/>
        <family val="2"/>
      </rPr>
      <t>original FA or renewal #</t>
    </r>
    <r>
      <rPr>
        <b/>
        <sz val="14"/>
        <color rgb="FF0000FF"/>
        <rFont val="Calibri"/>
        <family val="2"/>
      </rPr>
      <t xml:space="preserve"> starts with 2</t>
    </r>
  </si>
  <si>
    <t>For Multiple IDC Rates:</t>
  </si>
  <si>
    <t>released in this year's budget</t>
  </si>
  <si>
    <t>=  -Total Revenue + Total Transactions</t>
  </si>
  <si>
    <t xml:space="preserve"> Should match Budgeted Amount on FD</t>
  </si>
  <si>
    <t xml:space="preserve"> MM/DD/YY</t>
  </si>
  <si>
    <t>DO NOT enter restricted if it has been</t>
  </si>
  <si>
    <t xml:space="preserve"> If REVISED FSR, enter reason(s):</t>
  </si>
  <si>
    <t xml:space="preserve"> 00-0000</t>
  </si>
  <si>
    <t>Award + Supplements - Reductions</t>
  </si>
  <si>
    <t>Revised-we have already submitted a report to the sponsor and need to make a change.</t>
  </si>
  <si>
    <t>DEFICIT TRANSFER</t>
  </si>
  <si>
    <t>4300 Roosevelt Way NE</t>
  </si>
  <si>
    <t>Box 354966</t>
  </si>
  <si>
    <t>Seattle, WA  98195-4966</t>
  </si>
  <si>
    <t>UNALLOWABLE CHARGES</t>
  </si>
  <si>
    <t>4300 Roosevelt Way NE, Box 354966</t>
  </si>
  <si>
    <t>Seattle, WA 98195-4966</t>
  </si>
  <si>
    <t>If "N/A", either delete or add date, otherwise a formula error will generate in report remarks</t>
  </si>
  <si>
    <t>Charged</t>
  </si>
  <si>
    <t xml:space="preserve">                           BUDGET NUMBER INFORMATION                       *H*</t>
  </si>
  <si>
    <t>*Cells C131-136 may also be used in the event that cumulative reporting is required, and a prior budget exists</t>
  </si>
  <si>
    <t>Sum of D81 + D82 should = line 10F of prior FSR</t>
  </si>
  <si>
    <t>CURRENT BUDGET</t>
  </si>
  <si>
    <t>PRIOR BUDGET</t>
  </si>
  <si>
    <t>Combined</t>
  </si>
  <si>
    <t>Amnt Charged</t>
  </si>
  <si>
    <t>Period From</t>
  </si>
  <si>
    <t>Rate #1</t>
  </si>
  <si>
    <t>Rate #2</t>
  </si>
  <si>
    <t>Rate #3</t>
  </si>
  <si>
    <t>Rate #4</t>
  </si>
  <si>
    <t>RATE (%)</t>
  </si>
  <si>
    <r>
      <t>RATE (%) -</t>
    </r>
    <r>
      <rPr>
        <b/>
        <i/>
        <sz val="11"/>
        <rFont val="Calibri"/>
        <family val="2"/>
      </rPr>
      <t xml:space="preserve"> if none above</t>
    </r>
  </si>
  <si>
    <t>Prior Report IDC Data</t>
  </si>
  <si>
    <t>The grant has been closed out as follows:</t>
  </si>
  <si>
    <t>The unexpended balance includes the following:</t>
  </si>
  <si>
    <t>The disposition of the unexpended balance is as follows:</t>
  </si>
  <si>
    <t>If you have any questions regarding this grant, please contact GCA by phone at (206) 616-9995 or via Grant Tracker.</t>
  </si>
  <si>
    <t>Hello,</t>
  </si>
  <si>
    <t>Input only if SNAIL MAIL</t>
  </si>
  <si>
    <t>FOP</t>
  </si>
  <si>
    <t>Annual - everything else (a final report for a single year within a non-SNAP segment)</t>
  </si>
  <si>
    <t>Final-last year of segment or project.</t>
  </si>
  <si>
    <t>If sponsor name is Bureau of Reclamation, Bureau of Land Management, FEMA or Dept. of Homeland Security, adjust 10b amount per below</t>
  </si>
  <si>
    <t xml:space="preserve">If sponsor name is Bureau of Reclamation, Bureau of Land Management, FEMA or Dept. of Homeland Security:  When Line 10c is negative override formula so 10b = 10a so Line 10c = $0.00 </t>
  </si>
  <si>
    <t>Final LOC to the Penny</t>
  </si>
  <si>
    <t>Predetermined</t>
  </si>
  <si>
    <r>
      <rPr>
        <b/>
        <sz val="14"/>
        <color rgb="FFFF0000"/>
        <rFont val="Calibri"/>
        <family val="2"/>
      </rPr>
      <t>KEEP</t>
    </r>
    <r>
      <rPr>
        <sz val="14"/>
        <rFont val="Calibri"/>
        <family val="2"/>
      </rPr>
      <t xml:space="preserve"> if balance is greater than 25% of the award AND there is a continuation budget. </t>
    </r>
    <r>
      <rPr>
        <b/>
        <sz val="14"/>
        <color rgb="FFFF0000"/>
        <rFont val="Calibri"/>
        <family val="2"/>
      </rPr>
      <t>HIDE</t>
    </r>
    <r>
      <rPr>
        <sz val="14"/>
        <rFont val="Calibri"/>
        <family val="2"/>
      </rPr>
      <t xml:space="preserve"> if no continuation budget.</t>
    </r>
  </si>
  <si>
    <r>
      <rPr>
        <b/>
        <sz val="14"/>
        <color rgb="FFFF0000"/>
        <rFont val="Calibri"/>
        <family val="2"/>
      </rPr>
      <t>HIDE</t>
    </r>
    <r>
      <rPr>
        <sz val="14"/>
        <rFont val="Calibri"/>
        <family val="2"/>
      </rPr>
      <t xml:space="preserve"> if report form is</t>
    </r>
    <r>
      <rPr>
        <b/>
        <sz val="14"/>
        <rFont val="Calibri"/>
        <family val="2"/>
      </rPr>
      <t xml:space="preserve"> CATS </t>
    </r>
    <r>
      <rPr>
        <sz val="14"/>
        <rFont val="Calibri"/>
        <family val="2"/>
      </rPr>
      <t xml:space="preserve">or in </t>
    </r>
    <r>
      <rPr>
        <b/>
        <sz val="14"/>
        <rFont val="Calibri"/>
        <family val="2"/>
      </rPr>
      <t>EDMS</t>
    </r>
  </si>
  <si>
    <r>
      <rPr>
        <b/>
        <sz val="14"/>
        <color rgb="FFFF0000"/>
        <rFont val="Calibri"/>
        <family val="2"/>
      </rPr>
      <t>HIDE</t>
    </r>
    <r>
      <rPr>
        <sz val="14"/>
        <rFont val="Calibri"/>
        <family val="2"/>
      </rPr>
      <t xml:space="preserve"> if report form is</t>
    </r>
    <r>
      <rPr>
        <b/>
        <sz val="14"/>
        <rFont val="Calibri"/>
        <family val="2"/>
      </rPr>
      <t xml:space="preserve"> CATS</t>
    </r>
    <r>
      <rPr>
        <sz val="14"/>
        <rFont val="Calibri"/>
        <family val="2"/>
      </rPr>
      <t xml:space="preserve">, </t>
    </r>
    <r>
      <rPr>
        <b/>
        <sz val="14"/>
        <color rgb="FF0000FF"/>
        <rFont val="Calibri"/>
        <family val="2"/>
      </rPr>
      <t>KEEP</t>
    </r>
    <r>
      <rPr>
        <sz val="14"/>
        <rFont val="Calibri"/>
        <family val="2"/>
      </rPr>
      <t xml:space="preserve"> if report is in</t>
    </r>
    <r>
      <rPr>
        <b/>
        <sz val="14"/>
        <rFont val="Calibri"/>
        <family val="2"/>
      </rPr>
      <t xml:space="preserve"> EDMS</t>
    </r>
  </si>
  <si>
    <r>
      <rPr>
        <b/>
        <sz val="14"/>
        <color rgb="FFFF0000"/>
        <rFont val="Calibri"/>
        <family val="2"/>
      </rPr>
      <t xml:space="preserve">HIDE </t>
    </r>
    <r>
      <rPr>
        <b/>
        <sz val="14"/>
        <rFont val="Calibri"/>
        <family val="2"/>
      </rPr>
      <t xml:space="preserve">both the "attached" line and the "EDMS" Line if report is CATS. Letter should begin with "This grant has been closed out as follows:" </t>
    </r>
    <r>
      <rPr>
        <b/>
        <sz val="14"/>
        <color rgb="FFFF0000"/>
        <rFont val="Calibri"/>
        <family val="2"/>
      </rPr>
      <t>for all CATS reports</t>
    </r>
  </si>
  <si>
    <t xml:space="preserve">FUNDS RETURNED TO AWARDS RECEIVABLE   </t>
  </si>
  <si>
    <t>Matthew L Gardner</t>
  </si>
  <si>
    <t>Purpose:  To record updates/changes made to this tool.</t>
  </si>
  <si>
    <t>Description of Change (include cells)</t>
  </si>
  <si>
    <t>Updated GABS tab to show separate RTAR line same as Parent/Sub GABS  (row 24)</t>
  </si>
  <si>
    <t>Set default for RTAR on Reconciliation tab to auto populate the amount of funds released in the continuation (E56 = H43) to prevent double funding</t>
  </si>
  <si>
    <t>Correct UW EIN number on SF425-FFR tab (previously displayed NIH variation 1916001537A1)</t>
  </si>
  <si>
    <t>Added Updates tab to track changes made to template</t>
  </si>
  <si>
    <t>Format SF425-FFR tab box 1 Sponsor name to fit large names by merging cells.</t>
  </si>
  <si>
    <t>Coming Credit #1</t>
  </si>
  <si>
    <t>Coming Credit #2</t>
  </si>
  <si>
    <t>Coming Credit #3</t>
  </si>
  <si>
    <t>Coming Credit #4</t>
  </si>
  <si>
    <t>Coming Charge #1</t>
  </si>
  <si>
    <t>Coming Charge #2</t>
  </si>
  <si>
    <t>Coming Charge #3</t>
  </si>
  <si>
    <t>Coming Charge #4</t>
  </si>
  <si>
    <t>Other (05-47, 05-48, etc.)</t>
  </si>
  <si>
    <t>Added new exemptions to input tab</t>
  </si>
  <si>
    <t>Renamed coming charges and credits on input tab to align with current process (removed date references no longer used)</t>
  </si>
  <si>
    <t>UNHIDE when preparing a REVISED report not in EDMS</t>
  </si>
  <si>
    <t>SF425-FFR tab: Removed hidden formula instruction to populate Commons Carryover Box</t>
  </si>
  <si>
    <t>As the remaining balance is greater than 25% of the award, the sponsor may contact you to request an explanation of how the funds will be used in the next budget period.</t>
  </si>
  <si>
    <t>Updated PI letter tab to hide 1st lines of text since SA final reports are all submitted through EDMS the only time not in EDMS would be a revised report; adjusted line spacing to show all of the deficit text; added note for charging deficit to current period when G2P transition; removed broken formula for balance greater than 25%.</t>
  </si>
  <si>
    <t xml:space="preserve">Input tab: updated pop-up reminder to input Prior Year (PY) IDC data </t>
  </si>
  <si>
    <t>Updated offset JV description to add budget number.</t>
  </si>
  <si>
    <t>Updated deficit transfer description to match Closing and Grant Tracker's.</t>
  </si>
  <si>
    <t>Your Name:</t>
  </si>
  <si>
    <t>Sponsor Award Number:</t>
  </si>
  <si>
    <t>Report Period Begin:</t>
  </si>
  <si>
    <t>Report Period End:</t>
  </si>
  <si>
    <t>PI Name:</t>
  </si>
  <si>
    <t>Budget #:</t>
  </si>
  <si>
    <t>Subject Line:</t>
  </si>
  <si>
    <t>Thank you,</t>
  </si>
  <si>
    <t>Grant and Contract Accounting</t>
  </si>
  <si>
    <t>4300 Roosevelt Way NE, Suite 300</t>
  </si>
  <si>
    <t>gcahelp@uw.edu / (206) 616-9995</t>
  </si>
  <si>
    <t xml:space="preserve">Attached is the </t>
  </si>
  <si>
    <t xml:space="preserve"> financial report for grant # </t>
  </si>
  <si>
    <t xml:space="preserve"> under the direction of </t>
  </si>
  <si>
    <t xml:space="preserve"> through </t>
  </si>
  <si>
    <t>.</t>
  </si>
  <si>
    <t xml:space="preserve"> report for grant # </t>
  </si>
  <si>
    <t xml:space="preserve"> through the period ending </t>
  </si>
  <si>
    <t xml:space="preserve">Please refer to University of Washington budget number </t>
  </si>
  <si>
    <t xml:space="preserve">, UW budget no. </t>
  </si>
  <si>
    <t>Sponsor Submission Email Templates</t>
  </si>
  <si>
    <t>Report Type:</t>
  </si>
  <si>
    <t xml:space="preserve">Attached is an </t>
  </si>
  <si>
    <t xml:space="preserve"> financial report, </t>
  </si>
  <si>
    <t xml:space="preserve">covering the period </t>
  </si>
  <si>
    <t xml:space="preserve">, for grant # </t>
  </si>
  <si>
    <r>
      <t xml:space="preserve">Sponsor </t>
    </r>
    <r>
      <rPr>
        <b/>
        <sz val="14"/>
        <color rgb="FFFF0000"/>
        <rFont val="Calibri"/>
        <family val="2"/>
        <scheme val="minor"/>
      </rPr>
      <t>Interim/Annual</t>
    </r>
  </si>
  <si>
    <t>Sponsor Final</t>
  </si>
  <si>
    <t>a</t>
  </si>
  <si>
    <t xml:space="preserve"> if there are any questions concerning this report.  </t>
  </si>
  <si>
    <t>*verify correct reporting period with report</t>
  </si>
  <si>
    <t xml:space="preserve"> INDIRECT COST RATE:  8.0000  BASE: 23 DC LESS 0362 06 0805  ON/OFF CAMPUS: ON</t>
  </si>
  <si>
    <t xml:space="preserve"> ENCUMBER SALARY:    YES      AUTO BUDGET:  NO       COST SHARING:  NO</t>
  </si>
  <si>
    <t xml:space="preserve"> REVENUE/SOURCE: 9313-01  NATL INST-OF-HEALTH             ACCOUNTING FLAGS ON:</t>
  </si>
  <si>
    <t xml:space="preserve"> BUDGET TYPE:  05/13/01   PROGRAM/CATEGORY: 10-0          03 17</t>
  </si>
  <si>
    <t xml:space="preserve"> ST  FUND:     APPR:      EQUIPMENT CODE:  2-0-0-0-0      GRANT CONTROL FLAGS:</t>
  </si>
  <si>
    <t>Added Sponsor emails</t>
  </si>
  <si>
    <t>0</t>
  </si>
  <si>
    <t>GCA Reporting</t>
  </si>
  <si>
    <t>Enter DOLLAR amounts into this color cell</t>
  </si>
  <si>
    <t>Enter TEXT into this color cell</t>
  </si>
  <si>
    <t>Verify Funds</t>
  </si>
  <si>
    <t>Last Updated:</t>
  </si>
  <si>
    <t>This cell has a formula-DO NOT MANUALLY ENTER data</t>
  </si>
  <si>
    <t>This cell is a drop down list</t>
  </si>
  <si>
    <t>From GABS</t>
  </si>
  <si>
    <t>have not been released</t>
  </si>
  <si>
    <t>From GT</t>
  </si>
  <si>
    <t>Treat this cell like 37-99 funds</t>
  </si>
  <si>
    <t>Restricted funds for future budget periods</t>
  </si>
  <si>
    <r>
      <t xml:space="preserve">TOTALS
</t>
    </r>
    <r>
      <rPr>
        <b/>
        <sz val="8"/>
        <rFont val="Calibri"/>
        <family val="2"/>
      </rPr>
      <t>(New Funds)</t>
    </r>
  </si>
  <si>
    <r>
      <t xml:space="preserve">BCF </t>
    </r>
    <r>
      <rPr>
        <b/>
        <sz val="8"/>
        <rFont val="Calibri"/>
        <family val="2"/>
      </rPr>
      <t>(38-99 NOT from Less Unobligated Balance)</t>
    </r>
  </si>
  <si>
    <r>
      <t xml:space="preserve">BCF                           Restricted Funds                   </t>
    </r>
    <r>
      <rPr>
        <b/>
        <sz val="8"/>
        <rFont val="Calibri"/>
        <family val="2"/>
      </rPr>
      <t>(37-99)</t>
    </r>
  </si>
  <si>
    <t>Interest Earned</t>
  </si>
  <si>
    <t>Total BGT</t>
  </si>
  <si>
    <t>Report Package Input Links</t>
  </si>
  <si>
    <t>BUDGET Number</t>
  </si>
  <si>
    <t>62-7032</t>
  </si>
  <si>
    <t>FA/PAC Number</t>
  </si>
  <si>
    <t>FA121822</t>
  </si>
  <si>
    <t>FA125631</t>
  </si>
  <si>
    <t>FA Amount(s)</t>
  </si>
  <si>
    <t>Amount(s) per Award Document:</t>
  </si>
  <si>
    <t xml:space="preserve">Total Direct </t>
  </si>
  <si>
    <t>Total Direct Costs</t>
  </si>
  <si>
    <t xml:space="preserve">Total Indirect </t>
  </si>
  <si>
    <t>Total Indirect Costs</t>
  </si>
  <si>
    <t xml:space="preserve">Institutional Allowance </t>
  </si>
  <si>
    <t>Institutional Allowance</t>
  </si>
  <si>
    <t>Restrictions/Notes
(Include award page #)</t>
  </si>
  <si>
    <t xml:space="preserve"> Supplement</t>
  </si>
  <si>
    <t>* only when carryover is restricted</t>
  </si>
  <si>
    <t>Additional Notes:</t>
  </si>
  <si>
    <t>*only when carryover is restricted</t>
  </si>
  <si>
    <r>
      <t xml:space="preserve">Restrictions listed on </t>
    </r>
    <r>
      <rPr>
        <b/>
        <sz val="11"/>
        <rFont val="Calibri"/>
        <family val="2"/>
      </rPr>
      <t xml:space="preserve">PRIOR </t>
    </r>
    <r>
      <rPr>
        <sz val="11"/>
        <rFont val="Calibri"/>
        <family val="2"/>
      </rPr>
      <t>REPORT that affect this report:</t>
    </r>
  </si>
  <si>
    <t>Maximum amount of expenditures that can be reported</t>
  </si>
  <si>
    <r>
      <t>Restriction Summary (</t>
    </r>
    <r>
      <rPr>
        <b/>
        <sz val="11"/>
        <rFont val="Calibri"/>
        <family val="2"/>
      </rPr>
      <t>Current</t>
    </r>
    <r>
      <rPr>
        <sz val="11"/>
        <rFont val="Calibri"/>
        <family val="2"/>
      </rPr>
      <t xml:space="preserve"> items that affect the report):</t>
    </r>
  </si>
  <si>
    <t>Pre-Award Start Date (if applicable)</t>
  </si>
  <si>
    <t xml:space="preserve">Retain </t>
  </si>
  <si>
    <t>Refund</t>
  </si>
  <si>
    <t>RTAR</t>
  </si>
  <si>
    <t>Carryforward-Unrestricted</t>
  </si>
  <si>
    <t>Carryforward-Restricted</t>
  </si>
  <si>
    <t>N/A</t>
  </si>
  <si>
    <t>Cumulative</t>
  </si>
  <si>
    <t>Non-Cumulative</t>
  </si>
  <si>
    <t>Are we reporting cumulatively or non-cumulatively?</t>
  </si>
  <si>
    <t>1. Reporting Period (GrantTracker)
2. PMS
3. Commons or HRSA website 
     (look at "funds authorized" line)</t>
  </si>
  <si>
    <t>Disposition of Balance:</t>
  </si>
  <si>
    <t>Does the sponsor require a refund check with the Final Report?</t>
  </si>
  <si>
    <t xml:space="preserve">No </t>
  </si>
  <si>
    <t>Yes</t>
  </si>
  <si>
    <t>Sponsor's Information for Submission (Submission Matrix or Matrix of Large Sponsor Issues):</t>
  </si>
  <si>
    <t>Sponsor Name:</t>
  </si>
  <si>
    <t>NATL INST-OF-HEALTH</t>
  </si>
  <si>
    <t>Web Upload</t>
  </si>
  <si>
    <t>Web Input</t>
  </si>
  <si>
    <t>Mail</t>
  </si>
  <si>
    <t>Fax</t>
  </si>
  <si>
    <t>Email</t>
  </si>
  <si>
    <t>CATS</t>
  </si>
  <si>
    <t>Dept to Submit</t>
  </si>
  <si>
    <t>Multi Submission</t>
  </si>
  <si>
    <t>Sponsor Submission Method</t>
  </si>
  <si>
    <t>Sponsor Website Address:</t>
  </si>
  <si>
    <t>COMMONS</t>
  </si>
  <si>
    <t>PI Contact:</t>
  </si>
  <si>
    <t>Richard G. Ellenbogen</t>
  </si>
  <si>
    <t>rge@uw.edu</t>
  </si>
  <si>
    <t>Dept. Contact:</t>
  </si>
  <si>
    <t>Tram Tran</t>
  </si>
  <si>
    <t>tvtran@u.washington.edu</t>
  </si>
  <si>
    <t>Marlyn Del Cid</t>
  </si>
  <si>
    <t xml:space="preserve"> BIENNIUM: 15                                                           04/24/17</t>
  </si>
  <si>
    <t xml:space="preserve"> BUDGET NUMBER: 62-7032    SUMMER R25                   STATUS: 03 CLOSED</t>
  </si>
  <si>
    <t xml:space="preserve"> ORG CODE: 3-04-01-13-00-0 NEUROLOGICAL SURGERY         BOX-NO: 359924</t>
  </si>
  <si>
    <t xml:space="preserve"> PI:       881-00-2069     ELLENBOGEN, RICHARD G.</t>
  </si>
  <si>
    <t xml:space="preserve"> BEGIN DATE: 09/30/2015   END DATE: 08/31/2016   OLD BUDGET:  00-0000</t>
  </si>
  <si>
    <t xml:space="preserve"> TOTAL PER.: 09/30/2015   END DATE: 08/31/2020   NEW BUDGET:  61-1620</t>
  </si>
  <si>
    <t xml:space="preserve"> PARENT NO.: 00-0000      SUBACCTS:  NO          G&amp;C #:  3 R25 NS 095377-01S1</t>
  </si>
  <si>
    <t xml:space="preserve"> COST ACCOUNTING:    YES      PAYROLL UNIT: 0747     FORM OF PAY:   01</t>
  </si>
  <si>
    <t xml:space="preserve"> LOC FUND: 145 APPR: 19A  FED DOCUMENT NO: RNS095377A     01 08 14</t>
  </si>
  <si>
    <t>BUDGET 62-7032 BIEN 15  ACCT-MO 22   POSTED   /  /     THRU   /  /     ACTION 4</t>
  </si>
  <si>
    <t>BCF</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</si>
</sst>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
    <numFmt numFmtId="166" formatCode="_(* #,##0.000_);_(* \(#,##0.000\);_(* &quot;-&quot;??_);_(@_)"/>
    <numFmt numFmtId="167" formatCode="mm/dd/yy"/>
    <numFmt numFmtId="168" formatCode="mm/dd/yy_)"/>
    <numFmt numFmtId="169" formatCode="0_)"/>
    <numFmt numFmtId="170" formatCode="General_)"/>
    <numFmt numFmtId="171" formatCode="##\-##\-##"/>
    <numFmt numFmtId="172" formatCode="&quot;@ &quot;0.0%"/>
    <numFmt numFmtId="173" formatCode="&quot;INDIRECT COST @ &quot;0.00%"/>
    <numFmt numFmtId="174" formatCode="mmmm\ yyyy&quot; BSR RECONCILIATION&quot;"/>
    <numFmt numFmtId="175" formatCode="mm/dd/yy&quot;  -&quot;"/>
    <numFmt numFmtId="176" formatCode="&quot;Coming Charges &quot;mmm\-yy&quot; (P)&quot;"/>
    <numFmt numFmtId="177" formatCode="&quot;Coming Credits &quot;mmm\-yy&quot; (P)&quot;"/>
    <numFmt numFmtId="178" formatCode="mmmm\ dd\,\ yyyy"/>
    <numFmt numFmtId="179" formatCode="0.000%"/>
    <numFmt numFmtId="180" formatCode="mm/dd/yyyy"/>
    <numFmt numFmtId="181" formatCode="#,##0.00000_);\(#,##0.00000\)"/>
    <numFmt numFmtId="182" formatCode="mm/dd/yy;@"/>
    <numFmt numFmtId="183" formatCode="00\-0000"/>
  </numFmts>
  <fonts count="116">
    <font>
      <sz val="12"/>
      <name val="Courier New"/>
    </font>
    <font>
      <sz val="11"/>
      <color theme="1"/>
      <name val="Calibri"/>
      <family val="2"/>
      <scheme val="minor"/>
    </font>
    <font>
      <sz val="11"/>
      <color theme="1"/>
      <name val="Calibri"/>
      <family val="2"/>
      <scheme val="minor"/>
    </font>
    <font>
      <sz val="10"/>
      <name val="Arial"/>
      <family val="2"/>
    </font>
    <font>
      <sz val="12"/>
      <name val="Times New Roman"/>
      <family val="1"/>
    </font>
    <font>
      <sz val="9"/>
      <name val="Times New Roman"/>
      <family val="1"/>
    </font>
    <font>
      <sz val="11"/>
      <name val="Times New Roman"/>
      <family val="1"/>
    </font>
    <font>
      <sz val="10"/>
      <name val="Helv"/>
    </font>
    <font>
      <sz val="12"/>
      <name val="Courier New"/>
      <family val="3"/>
    </font>
    <font>
      <sz val="10"/>
      <name val="Times New Roman"/>
      <family val="1"/>
    </font>
    <font>
      <b/>
      <sz val="14"/>
      <name val="Times New Roman"/>
      <family val="1"/>
    </font>
    <font>
      <sz val="12"/>
      <color indexed="22"/>
      <name val="Times New Roman"/>
      <family val="1"/>
    </font>
    <font>
      <sz val="9"/>
      <name val="Courier New"/>
      <family val="3"/>
    </font>
    <font>
      <sz val="8"/>
      <name val="Courier New"/>
      <family val="3"/>
    </font>
    <font>
      <sz val="8"/>
      <name val="Courier New"/>
      <family val="3"/>
    </font>
    <font>
      <sz val="12"/>
      <name val="Courier New"/>
      <family val="3"/>
    </font>
    <font>
      <sz val="12"/>
      <name val="Courier New"/>
      <family val="3"/>
    </font>
    <font>
      <u/>
      <sz val="10"/>
      <color indexed="12"/>
      <name val="Arial"/>
      <family val="2"/>
    </font>
    <font>
      <sz val="8"/>
      <name val="Arial"/>
      <family val="2"/>
    </font>
    <font>
      <sz val="12"/>
      <name val="Arial MT"/>
    </font>
    <font>
      <sz val="11"/>
      <name val="Arial"/>
      <family val="2"/>
    </font>
    <font>
      <sz val="10"/>
      <name val="Arial"/>
      <family val="2"/>
    </font>
    <font>
      <sz val="10"/>
      <name val="Calibri"/>
      <family val="2"/>
    </font>
    <font>
      <sz val="12"/>
      <name val="Calibri"/>
      <family val="2"/>
    </font>
    <font>
      <b/>
      <i/>
      <sz val="28"/>
      <name val="Calibri"/>
      <family val="2"/>
    </font>
    <font>
      <sz val="20"/>
      <name val="Calibri"/>
      <family val="2"/>
    </font>
    <font>
      <b/>
      <i/>
      <sz val="26"/>
      <name val="Calibri"/>
      <family val="2"/>
    </font>
    <font>
      <b/>
      <sz val="12"/>
      <name val="Calibri"/>
      <family val="2"/>
    </font>
    <font>
      <b/>
      <sz val="12"/>
      <color indexed="9"/>
      <name val="Calibri"/>
      <family val="2"/>
    </font>
    <font>
      <sz val="11"/>
      <name val="Calibri"/>
      <family val="2"/>
    </font>
    <font>
      <b/>
      <sz val="12"/>
      <color indexed="8"/>
      <name val="Calibri"/>
      <family val="2"/>
    </font>
    <font>
      <b/>
      <sz val="16"/>
      <name val="Calibri"/>
      <family val="2"/>
    </font>
    <font>
      <sz val="12"/>
      <color indexed="12"/>
      <name val="Calibri"/>
      <family val="2"/>
    </font>
    <font>
      <sz val="12"/>
      <color indexed="39"/>
      <name val="Calibri"/>
      <family val="2"/>
    </font>
    <font>
      <sz val="8"/>
      <name val="Calibri"/>
      <family val="2"/>
    </font>
    <font>
      <b/>
      <sz val="18"/>
      <name val="Calibri"/>
      <family val="2"/>
    </font>
    <font>
      <sz val="14"/>
      <name val="Calibri"/>
      <family val="2"/>
    </font>
    <font>
      <sz val="9"/>
      <name val="Calibri"/>
      <family val="2"/>
    </font>
    <font>
      <sz val="7.5"/>
      <name val="Calibri"/>
      <family val="2"/>
    </font>
    <font>
      <b/>
      <sz val="10"/>
      <name val="Calibri"/>
      <family val="2"/>
    </font>
    <font>
      <b/>
      <sz val="9"/>
      <name val="Calibri"/>
      <family val="2"/>
    </font>
    <font>
      <sz val="7"/>
      <name val="Calibri"/>
      <family val="2"/>
    </font>
    <font>
      <sz val="10"/>
      <color indexed="12"/>
      <name val="Calibri"/>
      <family val="2"/>
    </font>
    <font>
      <b/>
      <sz val="10"/>
      <color indexed="12"/>
      <name val="Calibri"/>
      <family val="2"/>
    </font>
    <font>
      <b/>
      <sz val="14"/>
      <name val="Calibri"/>
      <family val="2"/>
    </font>
    <font>
      <sz val="9"/>
      <color indexed="12"/>
      <name val="Calibri"/>
      <family val="2"/>
    </font>
    <font>
      <b/>
      <sz val="11"/>
      <name val="Calibri"/>
      <family val="2"/>
    </font>
    <font>
      <sz val="13"/>
      <name val="Calibri"/>
      <family val="2"/>
    </font>
    <font>
      <b/>
      <sz val="13"/>
      <name val="Calibri"/>
      <family val="2"/>
    </font>
    <font>
      <sz val="16"/>
      <name val="Calibri"/>
      <family val="2"/>
    </font>
    <font>
      <sz val="12"/>
      <color indexed="9"/>
      <name val="Calibri"/>
      <family val="2"/>
    </font>
    <font>
      <sz val="14"/>
      <color indexed="9"/>
      <name val="Calibri"/>
      <family val="2"/>
    </font>
    <font>
      <sz val="13"/>
      <color indexed="9"/>
      <name val="Calibri"/>
      <family val="2"/>
    </font>
    <font>
      <sz val="11"/>
      <color indexed="9"/>
      <name val="Calibri"/>
      <family val="2"/>
    </font>
    <font>
      <sz val="26"/>
      <color indexed="62"/>
      <name val="Calibri"/>
      <family val="2"/>
    </font>
    <font>
      <sz val="26"/>
      <name val="Calibri"/>
      <family val="2"/>
    </font>
    <font>
      <i/>
      <sz val="14"/>
      <name val="Calibri"/>
      <family val="2"/>
    </font>
    <font>
      <sz val="10"/>
      <color indexed="8"/>
      <name val="Arial"/>
      <family val="2"/>
    </font>
    <font>
      <b/>
      <sz val="16"/>
      <name val="Arial"/>
      <family val="2"/>
    </font>
    <font>
      <b/>
      <sz val="10"/>
      <name val="Arial"/>
      <family val="2"/>
    </font>
    <font>
      <sz val="9"/>
      <name val="Arial"/>
      <family val="2"/>
    </font>
    <font>
      <sz val="12"/>
      <name val="Arial"/>
      <family val="2"/>
    </font>
    <font>
      <b/>
      <sz val="9"/>
      <name val="Arial"/>
      <family val="2"/>
    </font>
    <font>
      <b/>
      <sz val="12"/>
      <name val="Courier New"/>
      <family val="3"/>
    </font>
    <font>
      <i/>
      <sz val="11"/>
      <name val="Arial"/>
      <family val="2"/>
    </font>
    <font>
      <b/>
      <sz val="9"/>
      <name val="Arial MT"/>
    </font>
    <font>
      <sz val="10"/>
      <name val="Courier New"/>
      <family val="3"/>
    </font>
    <font>
      <b/>
      <sz val="9"/>
      <name val="Helv"/>
    </font>
    <font>
      <sz val="9"/>
      <name val="Helv"/>
    </font>
    <font>
      <sz val="10"/>
      <color indexed="12"/>
      <name val="Helv"/>
    </font>
    <font>
      <b/>
      <sz val="9"/>
      <color indexed="28"/>
      <name val="Helv"/>
    </font>
    <font>
      <sz val="9"/>
      <color indexed="12"/>
      <name val="Helv"/>
    </font>
    <font>
      <sz val="10"/>
      <color indexed="28"/>
      <name val="Helv"/>
    </font>
    <font>
      <b/>
      <sz val="10"/>
      <name val="Helv"/>
    </font>
    <font>
      <b/>
      <sz val="11"/>
      <name val="Times New Roman"/>
      <family val="1"/>
    </font>
    <font>
      <b/>
      <sz val="8"/>
      <name val="Arial"/>
      <family val="2"/>
    </font>
    <font>
      <b/>
      <sz val="10"/>
      <color theme="0"/>
      <name val="Helv"/>
    </font>
    <font>
      <sz val="10"/>
      <color theme="0"/>
      <name val="Helv"/>
    </font>
    <font>
      <b/>
      <sz val="14"/>
      <color rgb="FFFF0000"/>
      <name val="Calibri"/>
      <family val="2"/>
    </font>
    <font>
      <sz val="26"/>
      <color theme="0"/>
      <name val="Arial"/>
      <family val="2"/>
    </font>
    <font>
      <sz val="11"/>
      <name val="Courier New"/>
      <family val="3"/>
    </font>
    <font>
      <sz val="11"/>
      <name val="Calibri"/>
      <family val="2"/>
      <scheme val="minor"/>
    </font>
    <font>
      <b/>
      <sz val="14"/>
      <color rgb="FF0000FF"/>
      <name val="Calibri"/>
      <family val="2"/>
    </font>
    <font>
      <sz val="14"/>
      <color rgb="FF0000FF"/>
      <name val="Calibri"/>
      <family val="2"/>
    </font>
    <font>
      <sz val="12"/>
      <color rgb="FF0000FF"/>
      <name val="Calibri"/>
      <family val="2"/>
    </font>
    <font>
      <b/>
      <sz val="18"/>
      <color rgb="FF0000FF"/>
      <name val="Calibri"/>
      <family val="2"/>
    </font>
    <font>
      <b/>
      <sz val="12"/>
      <color theme="0"/>
      <name val="Calibri"/>
      <family val="2"/>
    </font>
    <font>
      <sz val="12"/>
      <color theme="0"/>
      <name val="Calibri"/>
      <family val="2"/>
    </font>
    <font>
      <i/>
      <sz val="11"/>
      <name val="Calibri"/>
      <family val="2"/>
    </font>
    <font>
      <b/>
      <sz val="14"/>
      <color theme="0"/>
      <name val="Calibri"/>
      <family val="2"/>
    </font>
    <font>
      <sz val="14"/>
      <color theme="0"/>
      <name val="Calibri"/>
      <family val="2"/>
    </font>
    <font>
      <sz val="11"/>
      <color theme="0"/>
      <name val="Calibri"/>
      <family val="2"/>
      <scheme val="minor"/>
    </font>
    <font>
      <sz val="10"/>
      <name val="Calibri"/>
      <family val="2"/>
      <scheme val="minor"/>
    </font>
    <font>
      <b/>
      <i/>
      <sz val="11"/>
      <name val="Calibri"/>
      <family val="2"/>
    </font>
    <font>
      <b/>
      <sz val="12"/>
      <color theme="0"/>
      <name val="Calibri"/>
      <family val="2"/>
      <scheme val="minor"/>
    </font>
    <font>
      <b/>
      <sz val="14"/>
      <color theme="0"/>
      <name val="Calibri"/>
      <family val="2"/>
      <scheme val="minor"/>
    </font>
    <font>
      <b/>
      <sz val="16"/>
      <color rgb="FFFF0000"/>
      <name val="Calibri"/>
      <family val="2"/>
    </font>
    <font>
      <b/>
      <sz val="14"/>
      <color rgb="FFFF0000"/>
      <name val="Times New Roman"/>
      <family val="1"/>
    </font>
    <font>
      <sz val="11"/>
      <color rgb="FFFF0000"/>
      <name val="Calibri"/>
      <family val="2"/>
    </font>
    <font>
      <sz val="12"/>
      <color theme="1"/>
      <name val="Calibri"/>
      <family val="2"/>
      <scheme val="minor"/>
    </font>
    <font>
      <b/>
      <sz val="16"/>
      <color theme="1"/>
      <name val="Calibri"/>
      <family val="2"/>
      <scheme val="minor"/>
    </font>
    <font>
      <sz val="11"/>
      <color rgb="FF000000"/>
      <name val="Calibri"/>
      <family val="2"/>
      <scheme val="minor"/>
    </font>
    <font>
      <b/>
      <sz val="14"/>
      <color theme="1"/>
      <name val="Calibri"/>
      <family val="2"/>
      <scheme val="minor"/>
    </font>
    <font>
      <b/>
      <sz val="14"/>
      <color rgb="FFFF0000"/>
      <name val="Calibri"/>
      <family val="2"/>
      <scheme val="minor"/>
    </font>
    <font>
      <b/>
      <sz val="11"/>
      <color rgb="FFC00000"/>
      <name val="Calibri"/>
      <family val="2"/>
      <scheme val="minor"/>
    </font>
    <font>
      <sz val="11"/>
      <color theme="0"/>
      <name val="Calibri"/>
      <family val="2"/>
    </font>
    <font>
      <b/>
      <sz val="11"/>
      <name val="Courier New"/>
      <family val="3"/>
    </font>
    <font>
      <sz val="8"/>
      <color rgb="FFFF0000"/>
      <name val="Courier New"/>
      <family val="3"/>
    </font>
    <font>
      <b/>
      <sz val="11"/>
      <name val="Calibri"/>
      <family val="2"/>
      <scheme val="minor"/>
    </font>
    <font>
      <b/>
      <sz val="8"/>
      <name val="Calibri"/>
      <family val="2"/>
    </font>
    <font>
      <sz val="10"/>
      <color theme="0"/>
      <name val="Arial"/>
      <family val="2"/>
    </font>
    <font>
      <sz val="11"/>
      <color indexed="9"/>
      <name val="Calibri"/>
      <family val="2"/>
      <scheme val="minor"/>
    </font>
    <font>
      <i/>
      <sz val="11"/>
      <color rgb="FF0000FF"/>
      <name val="Calibri"/>
      <family val="2"/>
      <scheme val="minor"/>
    </font>
    <font>
      <b/>
      <sz val="14"/>
      <name val="Courier New"/>
      <family val="3"/>
    </font>
    <font>
      <b/>
      <sz val="9"/>
      <color indexed="81"/>
      <name val="Tahoma"/>
      <family val="2"/>
    </font>
    <font>
      <sz val="9"/>
      <color indexed="81"/>
      <name val="Tahoma"/>
      <family val="2"/>
    </font>
  </fonts>
  <fills count="28">
    <fill>
      <patternFill patternType="none"/>
    </fill>
    <fill>
      <patternFill patternType="gray125"/>
    </fill>
    <fill>
      <patternFill patternType="solid">
        <fgColor indexed="57"/>
        <bgColor indexed="64"/>
      </patternFill>
    </fill>
    <fill>
      <patternFill patternType="solid">
        <fgColor indexed="54"/>
        <bgColor indexed="64"/>
      </patternFill>
    </fill>
    <fill>
      <patternFill patternType="solid">
        <fgColor indexed="53"/>
        <bgColor indexed="64"/>
      </patternFill>
    </fill>
    <fill>
      <patternFill patternType="solid">
        <fgColor indexed="47"/>
        <bgColor indexed="64"/>
      </patternFill>
    </fill>
    <fill>
      <patternFill patternType="solid">
        <fgColor indexed="29"/>
        <bgColor indexed="64"/>
      </patternFill>
    </fill>
    <fill>
      <patternFill patternType="solid">
        <fgColor indexed="51"/>
        <bgColor indexed="64"/>
      </patternFill>
    </fill>
    <fill>
      <patternFill patternType="solid">
        <fgColor indexed="9"/>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0.499984740745262"/>
        <bgColor indexed="22"/>
      </patternFill>
    </fill>
    <fill>
      <patternFill patternType="solid">
        <fgColor theme="0" tint="-0.499984740745262"/>
        <bgColor indexed="64"/>
      </patternFill>
    </fill>
    <fill>
      <patternFill patternType="solid">
        <fgColor rgb="FFFFFF00"/>
        <bgColor indexed="64"/>
      </patternFill>
    </fill>
    <fill>
      <patternFill patternType="solid">
        <fgColor rgb="FF7030A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CC9CCC"/>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813789"/>
        <bgColor indexed="64"/>
      </patternFill>
    </fill>
    <fill>
      <patternFill patternType="solid">
        <fgColor rgb="FFFFC000"/>
        <bgColor indexed="64"/>
      </patternFill>
    </fill>
    <fill>
      <patternFill patternType="solid">
        <fgColor rgb="FFFFCC00"/>
        <bgColor indexed="64"/>
      </patternFill>
    </fill>
    <fill>
      <patternFill patternType="solid">
        <fgColor indexed="29"/>
      </patternFill>
    </fill>
    <fill>
      <patternFill patternType="lightDown"/>
    </fill>
    <fill>
      <patternFill patternType="solid">
        <fgColor theme="5" tint="0.39997558519241921"/>
        <bgColor indexed="64"/>
      </patternFill>
    </fill>
    <fill>
      <patternFill patternType="solid">
        <fgColor theme="0" tint="-0.249977111117893"/>
        <bgColor indexed="64"/>
      </patternFill>
    </fill>
  </fills>
  <borders count="118">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right style="double">
        <color indexed="64"/>
      </right>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thin">
        <color indexed="64"/>
      </right>
      <top style="double">
        <color indexed="64"/>
      </top>
      <bottom style="double">
        <color indexed="64"/>
      </bottom>
      <diagonal/>
    </border>
    <border>
      <left/>
      <right/>
      <top/>
      <bottom style="thin">
        <color indexed="8"/>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64"/>
      </bottom>
      <diagonal/>
    </border>
    <border>
      <left style="medium">
        <color indexed="64"/>
      </left>
      <right style="medium">
        <color indexed="64"/>
      </right>
      <top style="thin">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diagonal/>
    </border>
    <border>
      <left/>
      <right style="thin">
        <color indexed="64"/>
      </right>
      <top/>
      <bottom style="thin">
        <color indexed="8"/>
      </bottom>
      <diagonal/>
    </border>
    <border>
      <left/>
      <right/>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22"/>
      </top>
      <bottom style="medium">
        <color indexed="22"/>
      </bottom>
      <diagonal/>
    </border>
    <border>
      <left/>
      <right style="medium">
        <color indexed="64"/>
      </right>
      <top style="medium">
        <color indexed="22"/>
      </top>
      <bottom style="medium">
        <color indexed="22"/>
      </bottom>
      <diagonal/>
    </border>
    <border>
      <left style="medium">
        <color indexed="64"/>
      </left>
      <right/>
      <top style="medium">
        <color indexed="22"/>
      </top>
      <bottom/>
      <diagonal/>
    </border>
    <border>
      <left/>
      <right style="medium">
        <color indexed="64"/>
      </right>
      <top style="medium">
        <color indexed="22"/>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thin">
        <color indexed="64"/>
      </left>
      <right/>
      <top/>
      <bottom style="medium">
        <color indexed="64"/>
      </bottom>
      <diagonal/>
    </border>
    <border>
      <left style="thin">
        <color indexed="8"/>
      </left>
      <right style="thin">
        <color indexed="64"/>
      </right>
      <top/>
      <bottom/>
      <diagonal/>
    </border>
    <border>
      <left/>
      <right style="thin">
        <color indexed="64"/>
      </right>
      <top style="thin">
        <color indexed="8"/>
      </top>
      <bottom/>
      <diagonal/>
    </border>
    <border>
      <left style="thin">
        <color indexed="64"/>
      </left>
      <right/>
      <top style="thin">
        <color indexed="8"/>
      </top>
      <bottom/>
      <diagonal/>
    </border>
    <border>
      <left/>
      <right style="thin">
        <color indexed="64"/>
      </right>
      <top style="thin">
        <color indexed="64"/>
      </top>
      <bottom style="thin">
        <color indexed="8"/>
      </bottom>
      <diagonal/>
    </border>
    <border>
      <left style="thin">
        <color indexed="8"/>
      </left>
      <right/>
      <top style="thin">
        <color indexed="8"/>
      </top>
      <bottom style="medium">
        <color indexed="64"/>
      </bottom>
      <diagonal/>
    </border>
    <border>
      <left/>
      <right/>
      <top style="thin">
        <color indexed="8"/>
      </top>
      <bottom style="medium">
        <color indexed="64"/>
      </bottom>
      <diagonal/>
    </border>
    <border>
      <left/>
      <right style="thin">
        <color indexed="8"/>
      </right>
      <top style="thin">
        <color indexed="8"/>
      </top>
      <bottom style="medium">
        <color indexed="64"/>
      </bottom>
      <diagonal/>
    </border>
    <border>
      <left/>
      <right/>
      <top style="medium">
        <color indexed="64"/>
      </top>
      <bottom style="thin">
        <color indexed="8"/>
      </bottom>
      <diagonal/>
    </border>
    <border>
      <left style="thin">
        <color indexed="64"/>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style="thin">
        <color indexed="64"/>
      </top>
      <bottom style="medium">
        <color indexed="64"/>
      </bottom>
      <diagonal/>
    </border>
    <border>
      <left/>
      <right style="thin">
        <color indexed="8"/>
      </right>
      <top style="thin">
        <color indexed="64"/>
      </top>
      <bottom style="medium">
        <color indexed="64"/>
      </bottom>
      <diagonal/>
    </border>
    <border>
      <left style="thin">
        <color indexed="8"/>
      </left>
      <right/>
      <top style="thin">
        <color indexed="8"/>
      </top>
      <bottom style="thin">
        <color indexed="64"/>
      </bottom>
      <diagonal/>
    </border>
    <border>
      <left/>
      <right style="thin">
        <color indexed="64"/>
      </right>
      <top style="thin">
        <color indexed="8"/>
      </top>
      <bottom style="thin">
        <color indexed="64"/>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top/>
      <bottom style="thin">
        <color indexed="8"/>
      </bottom>
      <diagonal/>
    </border>
    <border>
      <left style="thin">
        <color indexed="8"/>
      </left>
      <right style="thin">
        <color indexed="8"/>
      </right>
      <top/>
      <bottom style="medium">
        <color indexed="64"/>
      </bottom>
      <diagonal/>
    </border>
    <border>
      <left/>
      <right/>
      <top style="thin">
        <color indexed="8"/>
      </top>
      <bottom style="medium">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style="thin">
        <color indexed="64"/>
      </left>
      <right style="thin">
        <color indexed="64"/>
      </right>
      <top style="thin">
        <color indexed="8"/>
      </top>
      <bottom style="medium">
        <color indexed="8"/>
      </bottom>
      <diagonal/>
    </border>
    <border>
      <left style="thin">
        <color indexed="8"/>
      </left>
      <right/>
      <top style="thin">
        <color indexed="64"/>
      </top>
      <bottom/>
      <diagonal/>
    </border>
    <border>
      <left/>
      <right style="thin">
        <color indexed="64"/>
      </right>
      <top style="thin">
        <color indexed="8"/>
      </top>
      <bottom style="thin">
        <color indexed="8"/>
      </bottom>
      <diagonal/>
    </border>
    <border>
      <left style="medium">
        <color rgb="FF0000FF"/>
      </left>
      <right/>
      <top style="medium">
        <color rgb="FF0000FF"/>
      </top>
      <bottom style="medium">
        <color rgb="FF0000FF"/>
      </bottom>
      <diagonal/>
    </border>
    <border>
      <left/>
      <right style="medium">
        <color rgb="FF0000FF"/>
      </right>
      <top style="medium">
        <color rgb="FF0000FF"/>
      </top>
      <bottom style="medium">
        <color rgb="FF0000FF"/>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diagonal/>
    </border>
  </borders>
  <cellStyleXfs count="22">
    <xf numFmtId="39" fontId="0" fillId="0" borderId="0"/>
    <xf numFmtId="43" fontId="3" fillId="0" borderId="0" applyFont="0" applyFill="0" applyBorder="0" applyAlignment="0" applyProtection="0"/>
    <xf numFmtId="0" fontId="17" fillId="0" borderId="0" applyNumberFormat="0" applyFill="0" applyBorder="0" applyAlignment="0" applyProtection="0">
      <alignment vertical="top"/>
      <protection locked="0"/>
    </xf>
    <xf numFmtId="0" fontId="21" fillId="0" borderId="0"/>
    <xf numFmtId="0" fontId="3" fillId="0" borderId="0"/>
    <xf numFmtId="39" fontId="8" fillId="0" borderId="0"/>
    <xf numFmtId="0" fontId="3" fillId="0" borderId="0"/>
    <xf numFmtId="39" fontId="7" fillId="0" borderId="0"/>
    <xf numFmtId="0" fontId="3" fillId="0" borderId="0"/>
    <xf numFmtId="39" fontId="7" fillId="0" borderId="0"/>
    <xf numFmtId="0" fontId="4" fillId="0" borderId="0"/>
    <xf numFmtId="39" fontId="7" fillId="0" borderId="0"/>
    <xf numFmtId="39" fontId="8" fillId="0" borderId="0"/>
    <xf numFmtId="39" fontId="19" fillId="0" borderId="0"/>
    <xf numFmtId="39" fontId="19" fillId="0" borderId="0"/>
    <xf numFmtId="0" fontId="3" fillId="0" borderId="0"/>
    <xf numFmtId="39" fontId="7" fillId="0" borderId="0"/>
    <xf numFmtId="9" fontId="3" fillId="0" borderId="0" applyFont="0" applyFill="0" applyBorder="0" applyAlignment="0" applyProtection="0"/>
    <xf numFmtId="0" fontId="9" fillId="0" borderId="0"/>
    <xf numFmtId="170" fontId="5" fillId="0" borderId="0"/>
    <xf numFmtId="0" fontId="1" fillId="0" borderId="0"/>
    <xf numFmtId="0" fontId="110" fillId="24" borderId="0" applyNumberFormat="0" applyBorder="0" applyAlignment="0" applyProtection="0"/>
  </cellStyleXfs>
  <cellXfs count="1415">
    <xf numFmtId="39" fontId="0" fillId="0" borderId="0" xfId="0"/>
    <xf numFmtId="39" fontId="4" fillId="0" borderId="0" xfId="0" applyFont="1"/>
    <xf numFmtId="39" fontId="5" fillId="0" borderId="0" xfId="0" applyFont="1"/>
    <xf numFmtId="39" fontId="6" fillId="0" borderId="1" xfId="0" applyFont="1" applyBorder="1" applyAlignment="1">
      <alignment horizontal="center"/>
    </xf>
    <xf numFmtId="39" fontId="9" fillId="0" borderId="0" xfId="0" applyFont="1"/>
    <xf numFmtId="39" fontId="9" fillId="0" borderId="0" xfId="0" applyFont="1" applyAlignment="1" applyProtection="1">
      <alignment horizontal="left"/>
    </xf>
    <xf numFmtId="39" fontId="6" fillId="0" borderId="2" xfId="0" applyFont="1" applyBorder="1" applyAlignment="1" applyProtection="1">
      <alignment horizontal="center"/>
    </xf>
    <xf numFmtId="39" fontId="9" fillId="0" borderId="0" xfId="0" applyFont="1" applyAlignment="1" applyProtection="1"/>
    <xf numFmtId="39" fontId="10" fillId="0" borderId="0" xfId="0" applyFont="1" applyAlignment="1">
      <alignment horizontal="centerContinuous"/>
    </xf>
    <xf numFmtId="39" fontId="0" fillId="0" borderId="0" xfId="0" applyBorder="1"/>
    <xf numFmtId="39" fontId="4" fillId="0" borderId="0" xfId="0" applyFont="1" applyAlignment="1">
      <alignment horizontal="center"/>
    </xf>
    <xf numFmtId="39" fontId="12" fillId="0" borderId="0" xfId="0" applyFont="1"/>
    <xf numFmtId="39" fontId="12" fillId="0" borderId="0" xfId="0" applyFont="1" applyAlignment="1">
      <alignment horizontal="center"/>
    </xf>
    <xf numFmtId="39" fontId="4" fillId="0" borderId="0" xfId="0" applyFont="1" applyBorder="1" applyAlignment="1" applyProtection="1">
      <alignment horizontal="center"/>
    </xf>
    <xf numFmtId="39" fontId="4" fillId="0" borderId="0" xfId="0" applyFont="1" applyBorder="1" applyAlignment="1">
      <alignment horizontal="center"/>
    </xf>
    <xf numFmtId="39" fontId="4" fillId="0" borderId="0" xfId="0" quotePrefix="1" applyFont="1" applyBorder="1" applyAlignment="1" applyProtection="1">
      <alignment horizontal="center"/>
    </xf>
    <xf numFmtId="39" fontId="5" fillId="0" borderId="0" xfId="0" applyFont="1" applyBorder="1" applyAlignment="1">
      <alignment horizontal="center"/>
    </xf>
    <xf numFmtId="39" fontId="12" fillId="0" borderId="0" xfId="0" applyFont="1" applyBorder="1" applyAlignment="1">
      <alignment horizontal="center"/>
    </xf>
    <xf numFmtId="39" fontId="6" fillId="0" borderId="3" xfId="0" applyFont="1" applyBorder="1" applyAlignment="1">
      <alignment horizontal="center"/>
    </xf>
    <xf numFmtId="39" fontId="13" fillId="0" borderId="0" xfId="0" applyFont="1" applyBorder="1" applyAlignment="1">
      <alignment horizontal="right"/>
    </xf>
    <xf numFmtId="39" fontId="14" fillId="0" borderId="0" xfId="0" applyFont="1"/>
    <xf numFmtId="39" fontId="14" fillId="0" borderId="0" xfId="0" applyFont="1" applyAlignment="1">
      <alignment horizontal="center"/>
    </xf>
    <xf numFmtId="39" fontId="5" fillId="0" borderId="0" xfId="0" applyFont="1" applyBorder="1" applyAlignment="1">
      <alignment horizontal="centerContinuous"/>
    </xf>
    <xf numFmtId="39" fontId="8" fillId="0" borderId="0" xfId="0" applyFont="1"/>
    <xf numFmtId="39" fontId="11" fillId="2" borderId="4" xfId="0" quotePrefix="1" applyFont="1" applyFill="1" applyBorder="1" applyAlignment="1" applyProtection="1">
      <alignment horizontal="center"/>
    </xf>
    <xf numFmtId="0" fontId="11" fillId="2" borderId="5" xfId="15" quotePrefix="1" applyFont="1" applyFill="1" applyBorder="1" applyAlignment="1" applyProtection="1">
      <alignment horizontal="left"/>
    </xf>
    <xf numFmtId="39" fontId="11" fillId="2" borderId="4" xfId="0" applyFont="1" applyFill="1" applyBorder="1" applyAlignment="1" applyProtection="1">
      <alignment horizontal="center"/>
    </xf>
    <xf numFmtId="39" fontId="11" fillId="2" borderId="3" xfId="0" applyFont="1" applyFill="1" applyBorder="1" applyAlignment="1">
      <alignment horizontal="center"/>
    </xf>
    <xf numFmtId="39" fontId="11" fillId="2" borderId="6" xfId="0" applyFont="1" applyFill="1" applyBorder="1" applyAlignment="1">
      <alignment horizontal="center"/>
    </xf>
    <xf numFmtId="39" fontId="15" fillId="0" borderId="0" xfId="0" applyFont="1" applyBorder="1" applyAlignment="1">
      <alignment horizontal="right"/>
    </xf>
    <xf numFmtId="39" fontId="16" fillId="0" borderId="0" xfId="0" applyFont="1"/>
    <xf numFmtId="39" fontId="16" fillId="0" borderId="0" xfId="0" applyFont="1" applyBorder="1" applyAlignment="1">
      <alignment horizontal="center"/>
    </xf>
    <xf numFmtId="39" fontId="16" fillId="0" borderId="0" xfId="0" applyFont="1" applyAlignment="1">
      <alignment horizontal="center"/>
    </xf>
    <xf numFmtId="39" fontId="11" fillId="2" borderId="7" xfId="0" applyFont="1" applyFill="1" applyBorder="1" applyAlignment="1">
      <alignment horizontal="center"/>
    </xf>
    <xf numFmtId="39" fontId="11" fillId="2" borderId="4" xfId="0" applyFont="1" applyFill="1" applyBorder="1" applyAlignment="1">
      <alignment horizontal="center"/>
    </xf>
    <xf numFmtId="39" fontId="11" fillId="2" borderId="2" xfId="0" applyFont="1" applyFill="1" applyBorder="1" applyAlignment="1">
      <alignment horizontal="center"/>
    </xf>
    <xf numFmtId="39" fontId="11" fillId="2" borderId="1" xfId="0" applyFont="1" applyFill="1" applyBorder="1" applyAlignment="1">
      <alignment horizontal="center"/>
    </xf>
    <xf numFmtId="39" fontId="5" fillId="0" borderId="8" xfId="0" applyFont="1" applyBorder="1" applyAlignment="1" applyProtection="1">
      <alignment horizontal="center"/>
    </xf>
    <xf numFmtId="39" fontId="6" fillId="0" borderId="0" xfId="0" applyFont="1" applyAlignment="1" applyProtection="1">
      <alignment horizontal="left"/>
    </xf>
    <xf numFmtId="39" fontId="22" fillId="0" borderId="0" xfId="0" applyFont="1" applyBorder="1"/>
    <xf numFmtId="39" fontId="23" fillId="0" borderId="0" xfId="0" applyFont="1"/>
    <xf numFmtId="39" fontId="22" fillId="0" borderId="0" xfId="0" applyFont="1"/>
    <xf numFmtId="39" fontId="25" fillId="0" borderId="0" xfId="0" applyFont="1" applyBorder="1" applyAlignment="1"/>
    <xf numFmtId="39" fontId="25" fillId="0" borderId="0" xfId="0" applyFont="1"/>
    <xf numFmtId="39" fontId="23" fillId="0" borderId="0" xfId="0" applyFont="1" applyBorder="1" applyAlignment="1"/>
    <xf numFmtId="39" fontId="26" fillId="0" borderId="0" xfId="0" applyFont="1" applyBorder="1" applyAlignment="1">
      <alignment horizontal="centerContinuous"/>
    </xf>
    <xf numFmtId="39" fontId="25" fillId="0" borderId="0" xfId="0" applyFont="1" applyBorder="1" applyAlignment="1">
      <alignment horizontal="centerContinuous"/>
    </xf>
    <xf numFmtId="39" fontId="23" fillId="0" borderId="0" xfId="0" applyFont="1" applyAlignment="1">
      <alignment horizontal="centerContinuous"/>
    </xf>
    <xf numFmtId="39" fontId="23" fillId="0" borderId="0" xfId="0" applyFont="1" applyAlignment="1" applyProtection="1">
      <alignment horizontal="center"/>
    </xf>
    <xf numFmtId="167" fontId="23" fillId="0" borderId="0" xfId="0" applyNumberFormat="1" applyFont="1" applyAlignment="1" applyProtection="1">
      <alignment horizontal="left"/>
    </xf>
    <xf numFmtId="39" fontId="23" fillId="0" borderId="5" xfId="0" applyFont="1" applyBorder="1" applyAlignment="1">
      <alignment horizontal="centerContinuous"/>
    </xf>
    <xf numFmtId="39" fontId="23" fillId="0" borderId="9" xfId="0" applyFont="1" applyBorder="1" applyAlignment="1">
      <alignment horizontal="centerContinuous"/>
    </xf>
    <xf numFmtId="39" fontId="23" fillId="0" borderId="10" xfId="0" applyFont="1" applyBorder="1" applyAlignment="1">
      <alignment horizontal="centerContinuous"/>
    </xf>
    <xf numFmtId="0" fontId="23" fillId="0" borderId="4" xfId="8" applyFont="1" applyFill="1" applyBorder="1" applyAlignment="1">
      <alignment horizontal="right"/>
    </xf>
    <xf numFmtId="39" fontId="23" fillId="0" borderId="4" xfId="1" applyNumberFormat="1" applyFont="1" applyBorder="1" applyAlignment="1">
      <alignment horizontal="right"/>
    </xf>
    <xf numFmtId="39" fontId="23" fillId="0" borderId="0" xfId="0" applyFont="1" applyAlignment="1">
      <alignment horizontal="right"/>
    </xf>
    <xf numFmtId="0" fontId="22" fillId="0" borderId="10" xfId="8" applyFont="1" applyFill="1" applyBorder="1" applyAlignment="1">
      <alignment horizontal="centerContinuous"/>
    </xf>
    <xf numFmtId="39" fontId="23" fillId="0" borderId="11" xfId="0" applyFont="1" applyBorder="1" applyAlignment="1">
      <alignment horizontal="right"/>
    </xf>
    <xf numFmtId="39" fontId="23" fillId="0" borderId="12" xfId="0" applyFont="1" applyBorder="1"/>
    <xf numFmtId="39" fontId="23" fillId="0" borderId="0" xfId="0" quotePrefix="1" applyFont="1" applyAlignment="1" applyProtection="1">
      <alignment horizontal="left"/>
      <protection locked="0"/>
    </xf>
    <xf numFmtId="39" fontId="23" fillId="0" borderId="4" xfId="8" applyNumberFormat="1" applyFont="1" applyFill="1" applyBorder="1"/>
    <xf numFmtId="39" fontId="23" fillId="0" borderId="13" xfId="0" applyFont="1" applyBorder="1" applyAlignment="1">
      <alignment horizontal="right"/>
    </xf>
    <xf numFmtId="39" fontId="23" fillId="0" borderId="14" xfId="0" applyFont="1" applyBorder="1"/>
    <xf numFmtId="0" fontId="23" fillId="0" borderId="5" xfId="8" applyFont="1" applyFill="1" applyBorder="1" applyAlignment="1">
      <alignment horizontal="centerContinuous"/>
    </xf>
    <xf numFmtId="0" fontId="23" fillId="0" borderId="10" xfId="8" applyFont="1" applyFill="1" applyBorder="1" applyAlignment="1">
      <alignment horizontal="centerContinuous"/>
    </xf>
    <xf numFmtId="164" fontId="23" fillId="0" borderId="0" xfId="17" applyNumberFormat="1" applyFont="1" applyAlignment="1">
      <alignment horizontal="left"/>
    </xf>
    <xf numFmtId="176" fontId="23" fillId="0" borderId="13" xfId="0" applyNumberFormat="1" applyFont="1" applyBorder="1" applyAlignment="1">
      <alignment horizontal="right"/>
    </xf>
    <xf numFmtId="39" fontId="23" fillId="0" borderId="4" xfId="0" applyFont="1" applyBorder="1" applyAlignment="1">
      <alignment horizontal="right"/>
    </xf>
    <xf numFmtId="39" fontId="23" fillId="0" borderId="4" xfId="0" applyFont="1" applyBorder="1"/>
    <xf numFmtId="39" fontId="23" fillId="0" borderId="5" xfId="0" applyFont="1" applyBorder="1" applyAlignment="1">
      <alignment horizontal="right"/>
    </xf>
    <xf numFmtId="39" fontId="27" fillId="0" borderId="15" xfId="0" applyFont="1" applyBorder="1"/>
    <xf numFmtId="39" fontId="27" fillId="0" borderId="16" xfId="8" applyNumberFormat="1" applyFont="1" applyFill="1" applyBorder="1"/>
    <xf numFmtId="39" fontId="23" fillId="0" borderId="4" xfId="0" applyFont="1" applyBorder="1" applyAlignment="1" applyProtection="1">
      <alignment horizontal="right"/>
    </xf>
    <xf numFmtId="39" fontId="23" fillId="0" borderId="0" xfId="0" applyFont="1" applyAlignment="1">
      <alignment horizontal="left"/>
    </xf>
    <xf numFmtId="177" fontId="23" fillId="0" borderId="13" xfId="0" applyNumberFormat="1" applyFont="1" applyBorder="1" applyAlignment="1">
      <alignment horizontal="right"/>
    </xf>
    <xf numFmtId="39" fontId="27" fillId="0" borderId="15" xfId="8" applyNumberFormat="1" applyFont="1" applyFill="1" applyBorder="1"/>
    <xf numFmtId="39" fontId="23" fillId="0" borderId="4" xfId="0" applyFont="1" applyFill="1" applyBorder="1" applyAlignment="1">
      <alignment horizontal="right"/>
    </xf>
    <xf numFmtId="39" fontId="27" fillId="0" borderId="15" xfId="0" applyFont="1" applyFill="1" applyBorder="1"/>
    <xf numFmtId="39" fontId="23" fillId="0" borderId="4" xfId="0" applyFont="1" applyBorder="1" applyAlignment="1">
      <alignment horizontal="center"/>
    </xf>
    <xf numFmtId="39" fontId="23" fillId="0" borderId="10" xfId="0" applyFont="1" applyBorder="1" applyAlignment="1">
      <alignment horizontal="center"/>
    </xf>
    <xf numFmtId="39" fontId="23" fillId="0" borderId="3" xfId="0" applyFont="1" applyBorder="1"/>
    <xf numFmtId="39" fontId="23" fillId="0" borderId="3" xfId="0" applyFont="1" applyBorder="1" applyProtection="1">
      <protection locked="0"/>
    </xf>
    <xf numFmtId="39" fontId="23" fillId="0" borderId="4" xfId="8" applyNumberFormat="1" applyFont="1" applyFill="1" applyBorder="1" applyProtection="1">
      <protection locked="0"/>
    </xf>
    <xf numFmtId="39" fontId="23" fillId="0" borderId="4" xfId="1" applyNumberFormat="1" applyFont="1" applyFill="1" applyBorder="1" applyAlignment="1">
      <alignment horizontal="right"/>
    </xf>
    <xf numFmtId="39" fontId="23" fillId="0" borderId="1" xfId="0" applyFont="1" applyBorder="1"/>
    <xf numFmtId="39" fontId="23" fillId="0" borderId="1" xfId="0" applyFont="1" applyBorder="1" applyProtection="1">
      <protection locked="0"/>
    </xf>
    <xf numFmtId="39" fontId="23" fillId="0" borderId="1" xfId="0" quotePrefix="1" applyFont="1" applyBorder="1" applyAlignment="1">
      <alignment horizontal="right"/>
    </xf>
    <xf numFmtId="39" fontId="23" fillId="0" borderId="17" xfId="0" applyFont="1" applyBorder="1"/>
    <xf numFmtId="39" fontId="23" fillId="0" borderId="4" xfId="0" applyFont="1" applyBorder="1" applyProtection="1">
      <protection locked="0"/>
    </xf>
    <xf numFmtId="39" fontId="23" fillId="0" borderId="7" xfId="0" applyFont="1" applyBorder="1"/>
    <xf numFmtId="39" fontId="23" fillId="0" borderId="18" xfId="0" applyFont="1" applyBorder="1"/>
    <xf numFmtId="39" fontId="28" fillId="3" borderId="4" xfId="8" applyNumberFormat="1" applyFont="1" applyFill="1" applyBorder="1" applyProtection="1">
      <protection locked="0"/>
    </xf>
    <xf numFmtId="39" fontId="23" fillId="0" borderId="2" xfId="0" applyFont="1" applyBorder="1"/>
    <xf numFmtId="39" fontId="23" fillId="0" borderId="2" xfId="0" applyFont="1" applyBorder="1" applyProtection="1">
      <protection locked="0"/>
    </xf>
    <xf numFmtId="0" fontId="23" fillId="0" borderId="0" xfId="8" applyFont="1" applyFill="1" applyBorder="1" applyAlignment="1"/>
    <xf numFmtId="0" fontId="22" fillId="0" borderId="0" xfId="8" applyFont="1" applyFill="1" applyBorder="1" applyAlignment="1"/>
    <xf numFmtId="39" fontId="22" fillId="0" borderId="0" xfId="0" applyFont="1" applyBorder="1" applyAlignment="1"/>
    <xf numFmtId="39" fontId="23" fillId="0" borderId="19" xfId="0" applyFont="1" applyFill="1" applyBorder="1" applyAlignment="1">
      <alignment horizontal="right"/>
    </xf>
    <xf numFmtId="0" fontId="23" fillId="0" borderId="0" xfId="8" applyFont="1" applyFill="1" applyBorder="1"/>
    <xf numFmtId="0" fontId="22" fillId="0" borderId="0" xfId="8" applyFont="1" applyFill="1" applyBorder="1"/>
    <xf numFmtId="39" fontId="23" fillId="0" borderId="10" xfId="0" applyFont="1" applyBorder="1"/>
    <xf numFmtId="39" fontId="29" fillId="0" borderId="0" xfId="0" applyFont="1" applyAlignment="1" applyProtection="1">
      <alignment horizontal="right"/>
    </xf>
    <xf numFmtId="39" fontId="23" fillId="0" borderId="0" xfId="0" applyFont="1" applyBorder="1"/>
    <xf numFmtId="39" fontId="23" fillId="0" borderId="4" xfId="0" applyFont="1" applyFill="1" applyBorder="1" applyAlignment="1" applyProtection="1">
      <alignment horizontal="right"/>
      <protection locked="0"/>
    </xf>
    <xf numFmtId="39" fontId="27" fillId="0" borderId="15" xfId="1" applyNumberFormat="1" applyFont="1" applyFill="1" applyBorder="1" applyAlignment="1">
      <alignment horizontal="right"/>
    </xf>
    <xf numFmtId="39" fontId="23" fillId="0" borderId="0" xfId="0" applyFont="1" applyFill="1" applyBorder="1" applyAlignment="1">
      <alignment horizontal="right"/>
    </xf>
    <xf numFmtId="4" fontId="22" fillId="0" borderId="0" xfId="1" applyNumberFormat="1" applyFont="1" applyFill="1" applyBorder="1" applyAlignment="1">
      <alignment horizontal="right"/>
    </xf>
    <xf numFmtId="0" fontId="22" fillId="0" borderId="0" xfId="8" applyFont="1" applyFill="1"/>
    <xf numFmtId="39" fontId="23" fillId="0" borderId="0" xfId="0" applyFont="1" applyBorder="1" applyProtection="1">
      <protection locked="0"/>
    </xf>
    <xf numFmtId="39" fontId="29" fillId="0" borderId="0" xfId="0" applyFont="1" applyBorder="1" applyProtection="1">
      <protection locked="0"/>
    </xf>
    <xf numFmtId="39" fontId="23" fillId="0" borderId="3" xfId="0" quotePrefix="1" applyFont="1" applyBorder="1" applyAlignment="1">
      <alignment horizontal="right"/>
    </xf>
    <xf numFmtId="0" fontId="23" fillId="0" borderId="0" xfId="8" applyFont="1" applyFill="1"/>
    <xf numFmtId="39" fontId="23" fillId="0" borderId="5" xfId="0" applyFont="1" applyBorder="1"/>
    <xf numFmtId="39" fontId="23" fillId="0" borderId="9" xfId="0" applyFont="1" applyBorder="1"/>
    <xf numFmtId="39" fontId="23" fillId="0" borderId="10" xfId="0" applyFont="1" applyBorder="1" applyAlignment="1">
      <alignment horizontal="right"/>
    </xf>
    <xf numFmtId="39" fontId="28" fillId="3" borderId="4" xfId="0" applyFont="1" applyFill="1" applyBorder="1" applyProtection="1">
      <protection locked="0"/>
    </xf>
    <xf numFmtId="0" fontId="23" fillId="0" borderId="11" xfId="8" applyFont="1" applyFill="1" applyBorder="1" applyAlignment="1">
      <alignment horizontal="centerContinuous"/>
    </xf>
    <xf numFmtId="39" fontId="23" fillId="0" borderId="12" xfId="0" applyFont="1" applyBorder="1" applyAlignment="1">
      <alignment horizontal="centerContinuous"/>
    </xf>
    <xf numFmtId="39" fontId="28" fillId="0" borderId="0" xfId="0" applyFont="1"/>
    <xf numFmtId="44" fontId="29" fillId="0" borderId="20" xfId="8" applyNumberFormat="1" applyFont="1" applyFill="1" applyBorder="1" applyAlignment="1">
      <alignment horizontal="centerContinuous"/>
    </xf>
    <xf numFmtId="39" fontId="30" fillId="0" borderId="4" xfId="0" applyFont="1" applyFill="1" applyBorder="1" applyAlignment="1" applyProtection="1">
      <alignment horizontal="center"/>
      <protection locked="0"/>
    </xf>
    <xf numFmtId="39" fontId="29" fillId="0" borderId="0" xfId="0" applyFont="1" applyBorder="1" applyAlignment="1"/>
    <xf numFmtId="39" fontId="29" fillId="0" borderId="0" xfId="0" applyFont="1" applyBorder="1" applyAlignment="1" applyProtection="1">
      <protection locked="0"/>
    </xf>
    <xf numFmtId="39" fontId="28" fillId="4" borderId="4" xfId="0" applyFont="1" applyFill="1" applyBorder="1" applyProtection="1">
      <protection locked="0"/>
    </xf>
    <xf numFmtId="39" fontId="22" fillId="0" borderId="0" xfId="0" applyFont="1" applyAlignment="1"/>
    <xf numFmtId="39" fontId="22" fillId="0" borderId="0" xfId="0" quotePrefix="1" applyFont="1" applyAlignment="1">
      <alignment horizontal="left"/>
    </xf>
    <xf numFmtId="39" fontId="31" fillId="0" borderId="0" xfId="0" applyFont="1" applyAlignment="1" applyProtection="1">
      <alignment horizontal="centerContinuous"/>
    </xf>
    <xf numFmtId="39" fontId="31" fillId="0" borderId="0" xfId="0" applyFont="1" applyAlignment="1">
      <alignment horizontal="centerContinuous"/>
    </xf>
    <xf numFmtId="39" fontId="23" fillId="0" borderId="0" xfId="0" applyFont="1" applyAlignment="1" applyProtection="1">
      <alignment horizontal="left"/>
    </xf>
    <xf numFmtId="165" fontId="23" fillId="0" borderId="0" xfId="0" applyNumberFormat="1" applyFont="1" applyProtection="1"/>
    <xf numFmtId="37" fontId="23" fillId="0" borderId="0" xfId="0" applyNumberFormat="1" applyFont="1" applyAlignment="1">
      <alignment horizontal="left"/>
    </xf>
    <xf numFmtId="39" fontId="29" fillId="0" borderId="4" xfId="0" applyFont="1" applyBorder="1" applyAlignment="1" applyProtection="1">
      <alignment horizontal="centerContinuous"/>
    </xf>
    <xf numFmtId="39" fontId="29" fillId="0" borderId="4" xfId="0" applyFont="1" applyBorder="1" applyAlignment="1" applyProtection="1">
      <alignment horizontal="center"/>
    </xf>
    <xf numFmtId="175" fontId="23" fillId="0" borderId="13" xfId="0" applyNumberFormat="1" applyFont="1" applyBorder="1" applyAlignment="1">
      <alignment horizontal="center"/>
    </xf>
    <xf numFmtId="167" fontId="23" fillId="0" borderId="0" xfId="0" applyNumberFormat="1" applyFont="1" applyBorder="1" applyAlignment="1">
      <alignment horizontal="center"/>
    </xf>
    <xf numFmtId="10" fontId="23" fillId="0" borderId="0" xfId="17" applyNumberFormat="1" applyFont="1" applyAlignment="1" applyProtection="1">
      <alignment horizontal="center"/>
    </xf>
    <xf numFmtId="43" fontId="23" fillId="0" borderId="0" xfId="1" applyFont="1" applyProtection="1"/>
    <xf numFmtId="39" fontId="23" fillId="0" borderId="0" xfId="0" applyNumberFormat="1" applyFont="1" applyAlignment="1" applyProtection="1">
      <alignment horizontal="right"/>
    </xf>
    <xf numFmtId="39" fontId="23" fillId="0" borderId="0" xfId="0" applyFont="1" applyProtection="1"/>
    <xf numFmtId="39" fontId="23" fillId="0" borderId="14" xfId="0" applyFont="1" applyBorder="1" applyProtection="1"/>
    <xf numFmtId="10" fontId="23" fillId="0" borderId="0" xfId="0" applyNumberFormat="1" applyFont="1" applyAlignment="1" applyProtection="1">
      <alignment horizontal="center"/>
    </xf>
    <xf numFmtId="39" fontId="23" fillId="0" borderId="0" xfId="1" applyNumberFormat="1" applyFont="1" applyAlignment="1" applyProtection="1">
      <alignment horizontal="right"/>
    </xf>
    <xf numFmtId="43" fontId="23" fillId="0" borderId="0" xfId="1" applyFont="1" applyAlignment="1" applyProtection="1">
      <alignment horizontal="center"/>
    </xf>
    <xf numFmtId="39" fontId="23" fillId="0" borderId="8" xfId="0" applyFont="1" applyBorder="1"/>
    <xf numFmtId="39" fontId="23" fillId="0" borderId="4" xfId="0" applyFont="1" applyBorder="1" applyProtection="1"/>
    <xf numFmtId="39" fontId="32" fillId="0" borderId="0" xfId="0" applyFont="1" applyProtection="1">
      <protection locked="0"/>
    </xf>
    <xf numFmtId="39" fontId="23" fillId="0" borderId="0" xfId="0" applyNumberFormat="1" applyFont="1" applyProtection="1"/>
    <xf numFmtId="39" fontId="23" fillId="0" borderId="0" xfId="0" applyFont="1" applyAlignment="1" applyProtection="1">
      <alignment horizontal="fill"/>
    </xf>
    <xf numFmtId="39" fontId="23" fillId="0" borderId="11" xfId="0" applyFont="1" applyBorder="1" applyAlignment="1" applyProtection="1">
      <alignment horizontal="left"/>
    </xf>
    <xf numFmtId="39" fontId="33" fillId="0" borderId="12" xfId="0" applyFont="1" applyBorder="1"/>
    <xf numFmtId="39" fontId="23" fillId="0" borderId="23" xfId="0" applyFont="1" applyBorder="1" applyAlignment="1" applyProtection="1">
      <alignment horizontal="right"/>
    </xf>
    <xf numFmtId="39" fontId="23" fillId="0" borderId="24" xfId="0" applyFont="1" applyBorder="1"/>
    <xf numFmtId="39" fontId="23" fillId="0" borderId="13" xfId="0" applyFont="1" applyBorder="1" applyAlignment="1" applyProtection="1">
      <alignment horizontal="left"/>
    </xf>
    <xf numFmtId="39" fontId="23" fillId="0" borderId="25" xfId="0" applyFont="1" applyBorder="1" applyAlignment="1" applyProtection="1">
      <alignment horizontal="right"/>
    </xf>
    <xf numFmtId="39" fontId="23" fillId="0" borderId="26" xfId="0" applyFont="1" applyBorder="1"/>
    <xf numFmtId="39" fontId="23" fillId="0" borderId="27" xfId="0" applyFont="1" applyBorder="1" applyAlignment="1" applyProtection="1">
      <alignment horizontal="right"/>
    </xf>
    <xf numFmtId="39" fontId="23" fillId="0" borderId="28" xfId="0" applyFont="1" applyBorder="1"/>
    <xf numFmtId="39" fontId="23" fillId="0" borderId="17" xfId="0" applyFont="1" applyBorder="1" applyProtection="1"/>
    <xf numFmtId="39" fontId="23" fillId="0" borderId="9" xfId="0" applyFont="1" applyBorder="1" applyAlignment="1" applyProtection="1">
      <alignment horizontal="right"/>
    </xf>
    <xf numFmtId="39" fontId="23" fillId="0" borderId="10" xfId="0" applyFont="1" applyBorder="1" applyProtection="1"/>
    <xf numFmtId="0" fontId="34" fillId="0" borderId="0" xfId="6" applyFont="1"/>
    <xf numFmtId="39" fontId="23" fillId="0" borderId="0" xfId="14" applyFont="1"/>
    <xf numFmtId="39" fontId="35" fillId="0" borderId="0" xfId="14" applyFont="1" applyAlignment="1">
      <alignment horizontal="center"/>
    </xf>
    <xf numFmtId="39" fontId="23" fillId="0" borderId="0" xfId="14" applyFont="1" applyAlignment="1">
      <alignment horizontal="center"/>
    </xf>
    <xf numFmtId="39" fontId="22" fillId="0" borderId="0" xfId="14" applyFont="1"/>
    <xf numFmtId="0" fontId="22" fillId="0" borderId="0" xfId="15" applyFont="1"/>
    <xf numFmtId="0" fontId="36" fillId="0" borderId="0" xfId="15" applyFont="1" applyAlignment="1">
      <alignment horizontal="centerContinuous"/>
    </xf>
    <xf numFmtId="0" fontId="22" fillId="0" borderId="0" xfId="15" applyFont="1" applyAlignment="1">
      <alignment horizontal="centerContinuous"/>
    </xf>
    <xf numFmtId="0" fontId="34" fillId="0" borderId="0" xfId="15" applyFont="1"/>
    <xf numFmtId="0" fontId="34" fillId="0" borderId="0" xfId="15" applyFont="1" applyAlignment="1">
      <alignment horizontal="centerContinuous"/>
    </xf>
    <xf numFmtId="39" fontId="34" fillId="0" borderId="0" xfId="0" applyFont="1"/>
    <xf numFmtId="0" fontId="22" fillId="0" borderId="0" xfId="15" quotePrefix="1" applyFont="1" applyAlignment="1">
      <alignment horizontal="center"/>
    </xf>
    <xf numFmtId="165" fontId="22" fillId="0" borderId="4" xfId="15" applyNumberFormat="1" applyFont="1" applyBorder="1" applyAlignment="1">
      <alignment horizontal="center"/>
    </xf>
    <xf numFmtId="165" fontId="22" fillId="0" borderId="0" xfId="15" applyNumberFormat="1" applyFont="1" applyBorder="1" applyAlignment="1">
      <alignment horizontal="center"/>
    </xf>
    <xf numFmtId="0" fontId="22" fillId="0" borderId="4" xfId="15" applyFont="1" applyBorder="1" applyAlignment="1">
      <alignment horizontal="center"/>
    </xf>
    <xf numFmtId="0" fontId="34" fillId="0" borderId="0" xfId="15" applyFont="1" applyAlignment="1">
      <alignment horizontal="center"/>
    </xf>
    <xf numFmtId="0" fontId="22" fillId="0" borderId="0" xfId="15" applyFont="1" applyAlignment="1">
      <alignment horizontal="center"/>
    </xf>
    <xf numFmtId="0" fontId="22" fillId="0" borderId="5" xfId="15" applyFont="1" applyBorder="1" applyAlignment="1">
      <alignment horizontal="centerContinuous"/>
    </xf>
    <xf numFmtId="0" fontId="22" fillId="0" borderId="9" xfId="15" applyFont="1" applyBorder="1" applyAlignment="1">
      <alignment horizontal="centerContinuous"/>
    </xf>
    <xf numFmtId="0" fontId="22" fillId="0" borderId="10" xfId="15" applyFont="1" applyBorder="1" applyAlignment="1">
      <alignment horizontal="centerContinuous"/>
    </xf>
    <xf numFmtId="0" fontId="22" fillId="0" borderId="0" xfId="15" applyFont="1" applyBorder="1" applyAlignment="1">
      <alignment horizontal="center"/>
    </xf>
    <xf numFmtId="0" fontId="37" fillId="0" borderId="7" xfId="15" applyFont="1" applyBorder="1" applyAlignment="1">
      <alignment horizontal="center"/>
    </xf>
    <xf numFmtId="0" fontId="37" fillId="0" borderId="7" xfId="15" applyFont="1" applyBorder="1" applyAlignment="1">
      <alignment horizontal="centerContinuous"/>
    </xf>
    <xf numFmtId="0" fontId="37" fillId="0" borderId="19" xfId="15" applyFont="1" applyBorder="1" applyAlignment="1"/>
    <xf numFmtId="0" fontId="37" fillId="0" borderId="18" xfId="15" applyFont="1" applyBorder="1" applyAlignment="1"/>
    <xf numFmtId="43" fontId="37" fillId="0" borderId="13" xfId="1" applyFont="1" applyBorder="1" applyAlignment="1">
      <alignment horizontal="center"/>
    </xf>
    <xf numFmtId="0" fontId="38" fillId="0" borderId="11" xfId="15" applyFont="1" applyBorder="1" applyAlignment="1" applyProtection="1">
      <alignment horizontal="left"/>
    </xf>
    <xf numFmtId="0" fontId="38" fillId="0" borderId="8" xfId="15" applyFont="1" applyBorder="1" applyAlignment="1" applyProtection="1">
      <alignment horizontal="left"/>
    </xf>
    <xf numFmtId="0" fontId="37" fillId="0" borderId="12" xfId="15" applyFont="1" applyBorder="1" applyAlignment="1" applyProtection="1">
      <alignment horizontal="left"/>
    </xf>
    <xf numFmtId="0" fontId="37" fillId="0" borderId="11" xfId="15" applyFont="1" applyBorder="1" applyAlignment="1" applyProtection="1">
      <alignment horizontal="left"/>
    </xf>
    <xf numFmtId="49" fontId="37" fillId="0" borderId="12" xfId="15" applyNumberFormat="1" applyFont="1" applyBorder="1" applyAlignment="1">
      <alignment horizontal="left"/>
    </xf>
    <xf numFmtId="49" fontId="37" fillId="0" borderId="13" xfId="15" applyNumberFormat="1" applyFont="1" applyBorder="1" applyAlignment="1">
      <alignment horizontal="center"/>
    </xf>
    <xf numFmtId="39" fontId="37" fillId="0" borderId="2" xfId="1" applyNumberFormat="1" applyFont="1" applyBorder="1"/>
    <xf numFmtId="0" fontId="38" fillId="0" borderId="13" xfId="15" applyFont="1" applyBorder="1" applyAlignment="1" applyProtection="1">
      <alignment horizontal="left"/>
    </xf>
    <xf numFmtId="0" fontId="38" fillId="0" borderId="0" xfId="15" applyFont="1" applyBorder="1" applyAlignment="1" applyProtection="1">
      <alignment horizontal="left"/>
    </xf>
    <xf numFmtId="0" fontId="37" fillId="0" borderId="14" xfId="15" applyFont="1" applyBorder="1" applyAlignment="1" applyProtection="1">
      <alignment horizontal="left"/>
    </xf>
    <xf numFmtId="0" fontId="37" fillId="0" borderId="13" xfId="15" applyFont="1" applyBorder="1" applyAlignment="1" applyProtection="1">
      <alignment horizontal="left"/>
    </xf>
    <xf numFmtId="49" fontId="37" fillId="0" borderId="14" xfId="15" applyNumberFormat="1" applyFont="1" applyBorder="1" applyAlignment="1">
      <alignment horizontal="left"/>
    </xf>
    <xf numFmtId="39" fontId="37" fillId="0" borderId="3" xfId="1" applyNumberFormat="1" applyFont="1" applyBorder="1"/>
    <xf numFmtId="0" fontId="38" fillId="0" borderId="13" xfId="15" quotePrefix="1" applyFont="1" applyBorder="1" applyAlignment="1" applyProtection="1">
      <alignment horizontal="left"/>
    </xf>
    <xf numFmtId="0" fontId="38" fillId="0" borderId="0" xfId="15" quotePrefix="1" applyFont="1" applyBorder="1" applyAlignment="1" applyProtection="1">
      <alignment horizontal="left"/>
    </xf>
    <xf numFmtId="0" fontId="37" fillId="0" borderId="14" xfId="15" applyFont="1" applyBorder="1" applyAlignment="1" applyProtection="1">
      <alignment horizontal="center"/>
    </xf>
    <xf numFmtId="0" fontId="37" fillId="0" borderId="13" xfId="15" applyFont="1" applyBorder="1" applyAlignment="1" applyProtection="1">
      <alignment horizontal="center"/>
    </xf>
    <xf numFmtId="49" fontId="37" fillId="0" borderId="14" xfId="15" applyNumberFormat="1" applyFont="1" applyBorder="1" applyAlignment="1" applyProtection="1">
      <alignment horizontal="left"/>
    </xf>
    <xf numFmtId="0" fontId="38" fillId="0" borderId="13" xfId="15" applyFont="1" applyBorder="1" applyAlignment="1" applyProtection="1">
      <alignment horizontal="left"/>
      <protection locked="0"/>
    </xf>
    <xf numFmtId="0" fontId="38" fillId="0" borderId="0" xfId="15" applyFont="1" applyBorder="1" applyAlignment="1" applyProtection="1">
      <alignment horizontal="left"/>
      <protection locked="0"/>
    </xf>
    <xf numFmtId="0" fontId="37" fillId="0" borderId="14" xfId="15" applyFont="1" applyBorder="1" applyAlignment="1" applyProtection="1">
      <alignment horizontal="left"/>
      <protection locked="0"/>
    </xf>
    <xf numFmtId="0" fontId="37" fillId="0" borderId="13" xfId="15" applyFont="1" applyBorder="1" applyAlignment="1" applyProtection="1">
      <alignment horizontal="left"/>
      <protection locked="0"/>
    </xf>
    <xf numFmtId="43" fontId="37" fillId="0" borderId="21" xfId="1" applyFont="1" applyBorder="1" applyAlignment="1">
      <alignment horizontal="center"/>
    </xf>
    <xf numFmtId="0" fontId="38" fillId="0" borderId="21" xfId="15" applyFont="1" applyBorder="1" applyAlignment="1" applyProtection="1">
      <alignment horizontal="left"/>
      <protection locked="0"/>
    </xf>
    <xf numFmtId="0" fontId="38" fillId="0" borderId="22" xfId="15" applyFont="1" applyBorder="1" applyAlignment="1" applyProtection="1">
      <alignment horizontal="left"/>
      <protection locked="0"/>
    </xf>
    <xf numFmtId="0" fontId="37" fillId="0" borderId="17" xfId="15" applyFont="1" applyBorder="1" applyAlignment="1" applyProtection="1">
      <alignment horizontal="left"/>
      <protection locked="0"/>
    </xf>
    <xf numFmtId="0" fontId="37" fillId="0" borderId="21" xfId="15" applyFont="1" applyBorder="1" applyAlignment="1" applyProtection="1">
      <alignment horizontal="left"/>
      <protection locked="0"/>
    </xf>
    <xf numFmtId="49" fontId="37" fillId="0" borderId="17" xfId="15" applyNumberFormat="1" applyFont="1" applyBorder="1" applyAlignment="1">
      <alignment horizontal="left"/>
    </xf>
    <xf numFmtId="49" fontId="37" fillId="0" borderId="21" xfId="15" applyNumberFormat="1" applyFont="1" applyBorder="1" applyAlignment="1">
      <alignment horizontal="center"/>
    </xf>
    <xf numFmtId="39" fontId="37" fillId="0" borderId="1" xfId="1" applyNumberFormat="1" applyFont="1" applyBorder="1"/>
    <xf numFmtId="0" fontId="37" fillId="0" borderId="0" xfId="15" applyFont="1" applyBorder="1" applyAlignment="1">
      <alignment horizontal="center"/>
    </xf>
    <xf numFmtId="0" fontId="37" fillId="0" borderId="0" xfId="15" applyFont="1" applyBorder="1" applyAlignment="1" applyProtection="1">
      <alignment horizontal="left"/>
    </xf>
    <xf numFmtId="0" fontId="37" fillId="0" borderId="0" xfId="15" applyFont="1" applyBorder="1" applyAlignment="1">
      <alignment horizontal="centerContinuous"/>
    </xf>
    <xf numFmtId="39" fontId="37" fillId="0" borderId="29" xfId="1" applyNumberFormat="1" applyFont="1" applyBorder="1" applyAlignment="1"/>
    <xf numFmtId="0" fontId="39" fillId="0" borderId="0" xfId="15" applyFont="1"/>
    <xf numFmtId="39" fontId="29" fillId="0" borderId="0" xfId="0" applyFont="1" applyBorder="1" applyAlignment="1">
      <alignment horizontal="centerContinuous"/>
    </xf>
    <xf numFmtId="39" fontId="23" fillId="0" borderId="0" xfId="0" applyFont="1" applyBorder="1" applyAlignment="1">
      <alignment horizontal="centerContinuous"/>
    </xf>
    <xf numFmtId="0" fontId="22" fillId="0" borderId="5" xfId="15" quotePrefix="1" applyFont="1" applyBorder="1" applyAlignment="1">
      <alignment horizontal="left"/>
    </xf>
    <xf numFmtId="0" fontId="22" fillId="0" borderId="9" xfId="15" applyFont="1" applyBorder="1"/>
    <xf numFmtId="0" fontId="22" fillId="0" borderId="10" xfId="15" applyFont="1" applyBorder="1"/>
    <xf numFmtId="0" fontId="22" fillId="0" borderId="0" xfId="15" applyFont="1" applyBorder="1"/>
    <xf numFmtId="39" fontId="34" fillId="0" borderId="4" xfId="0" quotePrefix="1" applyFont="1" applyBorder="1" applyAlignment="1">
      <alignment horizontal="right"/>
    </xf>
    <xf numFmtId="39" fontId="37" fillId="0" borderId="4" xfId="0" applyFont="1" applyBorder="1"/>
    <xf numFmtId="0" fontId="39" fillId="0" borderId="4" xfId="15" applyFont="1" applyBorder="1" applyAlignment="1">
      <alignment horizontal="center"/>
    </xf>
    <xf numFmtId="0" fontId="40" fillId="0" borderId="4" xfId="15" applyFont="1" applyBorder="1" applyAlignment="1">
      <alignment horizontal="center"/>
    </xf>
    <xf numFmtId="0" fontId="37" fillId="0" borderId="4" xfId="15" applyFont="1" applyBorder="1" applyAlignment="1">
      <alignment horizontal="center"/>
    </xf>
    <xf numFmtId="43" fontId="41" fillId="0" borderId="4" xfId="1" applyFont="1" applyBorder="1" applyAlignment="1">
      <alignment horizontal="center"/>
    </xf>
    <xf numFmtId="0" fontId="40" fillId="0" borderId="0" xfId="15" applyFont="1" applyBorder="1" applyAlignment="1">
      <alignment horizontal="center"/>
    </xf>
    <xf numFmtId="43" fontId="41" fillId="0" borderId="0" xfId="1" applyFont="1" applyBorder="1" applyAlignment="1">
      <alignment horizontal="center"/>
    </xf>
    <xf numFmtId="0" fontId="34" fillId="0" borderId="0" xfId="15" applyFont="1" applyBorder="1"/>
    <xf numFmtId="168" fontId="22" fillId="0" borderId="0" xfId="15" applyNumberFormat="1" applyFont="1" applyBorder="1" applyAlignment="1">
      <alignment horizontal="center"/>
    </xf>
    <xf numFmtId="39" fontId="22" fillId="0" borderId="0" xfId="15" applyNumberFormat="1" applyFont="1" applyBorder="1" applyAlignment="1">
      <alignment horizontal="centerContinuous"/>
    </xf>
    <xf numFmtId="0" fontId="22" fillId="0" borderId="0" xfId="15" applyFont="1" applyBorder="1" applyAlignment="1">
      <alignment horizontal="centerContinuous"/>
    </xf>
    <xf numFmtId="0" fontId="22" fillId="0" borderId="0" xfId="15" applyFont="1" applyBorder="1" applyAlignment="1"/>
    <xf numFmtId="39" fontId="39" fillId="0" borderId="0" xfId="11" applyFont="1" applyAlignment="1" applyProtection="1">
      <alignment horizontal="left"/>
    </xf>
    <xf numFmtId="170" fontId="39" fillId="0" borderId="14" xfId="11" quotePrefix="1" applyNumberFormat="1" applyFont="1" applyBorder="1" applyAlignment="1" applyProtection="1">
      <alignment horizontal="right"/>
    </xf>
    <xf numFmtId="170" fontId="39" fillId="0" borderId="14" xfId="11" applyNumberFormat="1" applyFont="1" applyBorder="1" applyAlignment="1" applyProtection="1">
      <alignment horizontal="right"/>
    </xf>
    <xf numFmtId="43" fontId="39" fillId="0" borderId="22" xfId="1" applyFont="1" applyBorder="1" applyProtection="1"/>
    <xf numFmtId="165" fontId="39" fillId="0" borderId="4" xfId="11" quotePrefix="1" applyNumberFormat="1" applyFont="1" applyBorder="1" applyAlignment="1" applyProtection="1">
      <alignment horizontal="center"/>
    </xf>
    <xf numFmtId="43" fontId="39" fillId="0" borderId="29" xfId="1" applyFont="1" applyBorder="1" applyProtection="1"/>
    <xf numFmtId="39" fontId="39" fillId="0" borderId="0" xfId="16" applyFont="1" applyAlignment="1">
      <alignment horizontal="right"/>
    </xf>
    <xf numFmtId="39" fontId="39" fillId="0" borderId="0" xfId="16" applyFont="1"/>
    <xf numFmtId="39" fontId="39" fillId="0" borderId="0" xfId="16" applyFont="1" applyAlignment="1" applyProtection="1">
      <alignment horizontal="left"/>
    </xf>
    <xf numFmtId="39" fontId="22" fillId="0" borderId="0" xfId="16" applyFont="1"/>
    <xf numFmtId="39" fontId="39" fillId="0" borderId="0" xfId="16" applyFont="1" applyAlignment="1">
      <alignment horizontal="centerContinuous"/>
    </xf>
    <xf numFmtId="168" fontId="39" fillId="0" borderId="0" xfId="16" applyNumberFormat="1" applyFont="1" applyAlignment="1" applyProtection="1">
      <alignment horizontal="left"/>
    </xf>
    <xf numFmtId="39" fontId="42" fillId="0" borderId="0" xfId="16" applyFont="1" applyAlignment="1" applyProtection="1">
      <alignment horizontal="right"/>
      <protection locked="0"/>
    </xf>
    <xf numFmtId="39" fontId="42" fillId="0" borderId="0" xfId="16" applyFont="1" applyAlignment="1" applyProtection="1">
      <alignment horizontal="left"/>
      <protection locked="0"/>
    </xf>
    <xf numFmtId="39" fontId="42" fillId="0" borderId="0" xfId="16" applyFont="1" applyAlignment="1" applyProtection="1">
      <alignment horizontal="fill"/>
      <protection locked="0"/>
    </xf>
    <xf numFmtId="39" fontId="39" fillId="0" borderId="0" xfId="16" applyFont="1" applyAlignment="1">
      <alignment horizontal="left"/>
    </xf>
    <xf numFmtId="39" fontId="39" fillId="0" borderId="0" xfId="16" quotePrefix="1" applyFont="1" applyAlignment="1" applyProtection="1">
      <alignment horizontal="right"/>
    </xf>
    <xf numFmtId="169" fontId="42" fillId="0" borderId="0" xfId="16" applyNumberFormat="1" applyFont="1" applyAlignment="1" applyProtection="1">
      <alignment horizontal="left"/>
      <protection locked="0"/>
    </xf>
    <xf numFmtId="39" fontId="22" fillId="0" borderId="0" xfId="16" applyFont="1" applyAlignment="1" applyProtection="1">
      <alignment horizontal="left"/>
    </xf>
    <xf numFmtId="39" fontId="22" fillId="0" borderId="0" xfId="16" quotePrefix="1" applyFont="1" applyAlignment="1" applyProtection="1">
      <alignment horizontal="left"/>
    </xf>
    <xf numFmtId="39" fontId="39" fillId="0" borderId="0" xfId="16" applyFont="1" applyAlignment="1" applyProtection="1">
      <alignment horizontal="right"/>
    </xf>
    <xf numFmtId="39" fontId="39" fillId="0" borderId="30" xfId="16" applyFont="1" applyBorder="1" applyAlignment="1" applyProtection="1">
      <alignment horizontal="left"/>
    </xf>
    <xf numFmtId="39" fontId="39" fillId="0" borderId="30" xfId="16" applyFont="1" applyBorder="1"/>
    <xf numFmtId="39" fontId="39" fillId="0" borderId="0" xfId="16" applyFont="1" applyProtection="1"/>
    <xf numFmtId="39" fontId="39" fillId="0" borderId="14" xfId="16" applyFont="1" applyBorder="1" applyAlignment="1">
      <alignment horizontal="right"/>
    </xf>
    <xf numFmtId="39" fontId="39" fillId="0" borderId="13" xfId="16" applyFont="1" applyBorder="1" applyAlignment="1" applyProtection="1">
      <alignment horizontal="left"/>
    </xf>
    <xf numFmtId="168" fontId="22" fillId="0" borderId="0" xfId="16" applyNumberFormat="1" applyFont="1" applyProtection="1"/>
    <xf numFmtId="170" fontId="39" fillId="0" borderId="14" xfId="16" quotePrefix="1" applyNumberFormat="1" applyFont="1" applyBorder="1" applyAlignment="1" applyProtection="1">
      <alignment horizontal="right"/>
    </xf>
    <xf numFmtId="39" fontId="39" fillId="0" borderId="13" xfId="16" applyFont="1" applyBorder="1"/>
    <xf numFmtId="170" fontId="39" fillId="0" borderId="14" xfId="16" applyNumberFormat="1" applyFont="1" applyBorder="1" applyAlignment="1" applyProtection="1">
      <alignment horizontal="right"/>
    </xf>
    <xf numFmtId="39" fontId="39" fillId="0" borderId="17" xfId="16" applyFont="1" applyBorder="1" applyProtection="1"/>
    <xf numFmtId="39" fontId="39" fillId="0" borderId="17" xfId="16" applyNumberFormat="1" applyFont="1" applyBorder="1" applyProtection="1"/>
    <xf numFmtId="39" fontId="39" fillId="0" borderId="22" xfId="16" applyNumberFormat="1" applyFont="1" applyBorder="1" applyProtection="1"/>
    <xf numFmtId="169" fontId="42" fillId="0" borderId="0" xfId="16" applyNumberFormat="1" applyFont="1" applyAlignment="1" applyProtection="1">
      <alignment horizontal="fill"/>
      <protection locked="0"/>
    </xf>
    <xf numFmtId="37" fontId="22" fillId="0" borderId="0" xfId="16" applyNumberFormat="1" applyFont="1" applyProtection="1"/>
    <xf numFmtId="169" fontId="22" fillId="0" borderId="0" xfId="16" applyNumberFormat="1" applyFont="1" applyAlignment="1" applyProtection="1">
      <alignment horizontal="left"/>
    </xf>
    <xf numFmtId="169" fontId="22" fillId="0" borderId="0" xfId="16" applyNumberFormat="1" applyFont="1" applyAlignment="1" applyProtection="1">
      <alignment horizontal="right"/>
    </xf>
    <xf numFmtId="39" fontId="22" fillId="0" borderId="0" xfId="16" applyNumberFormat="1" applyFont="1" applyProtection="1"/>
    <xf numFmtId="39" fontId="22" fillId="0" borderId="0" xfId="16" applyFont="1" applyProtection="1"/>
    <xf numFmtId="169" fontId="22" fillId="0" borderId="0" xfId="16" applyNumberFormat="1" applyFont="1" applyProtection="1"/>
    <xf numFmtId="39" fontId="22" fillId="0" borderId="0" xfId="16" applyNumberFormat="1" applyFont="1" applyAlignment="1" applyProtection="1">
      <alignment horizontal="left"/>
    </xf>
    <xf numFmtId="39" fontId="39" fillId="0" borderId="14" xfId="16" applyFont="1" applyBorder="1" applyAlignment="1" applyProtection="1">
      <alignment horizontal="right"/>
    </xf>
    <xf numFmtId="165" fontId="39" fillId="0" borderId="17" xfId="16" applyNumberFormat="1" applyFont="1" applyBorder="1" applyAlignment="1">
      <alignment horizontal="center"/>
    </xf>
    <xf numFmtId="171" fontId="39" fillId="0" borderId="17" xfId="16" applyNumberFormat="1" applyFont="1" applyBorder="1" applyAlignment="1">
      <alignment horizontal="center"/>
    </xf>
    <xf numFmtId="170" fontId="22" fillId="0" borderId="0" xfId="16" applyNumberFormat="1" applyFont="1" applyProtection="1"/>
    <xf numFmtId="39" fontId="39" fillId="0" borderId="0" xfId="16" quotePrefix="1" applyFont="1" applyAlignment="1" applyProtection="1">
      <alignment horizontal="left"/>
    </xf>
    <xf numFmtId="43" fontId="39" fillId="0" borderId="0" xfId="1" quotePrefix="1" applyNumberFormat="1" applyFont="1" applyAlignment="1" applyProtection="1">
      <alignment horizontal="right"/>
    </xf>
    <xf numFmtId="39" fontId="39" fillId="0" borderId="0" xfId="16" quotePrefix="1" applyFont="1" applyAlignment="1">
      <alignment horizontal="left"/>
    </xf>
    <xf numFmtId="39" fontId="39" fillId="0" borderId="0" xfId="16" quotePrefix="1" applyFont="1"/>
    <xf numFmtId="39" fontId="22" fillId="0" borderId="0" xfId="16" applyFont="1" applyAlignment="1">
      <alignment horizontal="right"/>
    </xf>
    <xf numFmtId="39" fontId="42" fillId="0" borderId="0" xfId="16" applyFont="1" applyProtection="1">
      <protection locked="0"/>
    </xf>
    <xf numFmtId="170" fontId="22" fillId="0" borderId="0" xfId="16" applyNumberFormat="1" applyFont="1" applyAlignment="1" applyProtection="1">
      <alignment horizontal="left"/>
    </xf>
    <xf numFmtId="39" fontId="39" fillId="0" borderId="0" xfId="7" applyFont="1" applyAlignment="1">
      <alignment horizontal="right"/>
    </xf>
    <xf numFmtId="39" fontId="39" fillId="0" borderId="0" xfId="7" applyFont="1"/>
    <xf numFmtId="39" fontId="39" fillId="0" borderId="0" xfId="7" applyFont="1" applyAlignment="1" applyProtection="1">
      <alignment horizontal="left"/>
    </xf>
    <xf numFmtId="39" fontId="39" fillId="0" borderId="0" xfId="7" applyFont="1" applyAlignment="1">
      <alignment horizontal="centerContinuous"/>
    </xf>
    <xf numFmtId="168" fontId="39" fillId="0" borderId="0" xfId="7" applyNumberFormat="1" applyFont="1" applyAlignment="1" applyProtection="1">
      <alignment horizontal="left"/>
    </xf>
    <xf numFmtId="39" fontId="43" fillId="0" borderId="0" xfId="7" applyFont="1" applyAlignment="1" applyProtection="1">
      <alignment horizontal="right"/>
      <protection locked="0"/>
    </xf>
    <xf numFmtId="39" fontId="43" fillId="0" borderId="0" xfId="7" applyFont="1" applyAlignment="1" applyProtection="1">
      <alignment horizontal="left"/>
      <protection locked="0"/>
    </xf>
    <xf numFmtId="39" fontId="43" fillId="0" borderId="0" xfId="7" applyFont="1" applyAlignment="1" applyProtection="1">
      <alignment horizontal="fill"/>
      <protection locked="0"/>
    </xf>
    <xf numFmtId="39" fontId="39" fillId="0" borderId="0" xfId="7" applyFont="1" applyAlignment="1">
      <alignment horizontal="left"/>
    </xf>
    <xf numFmtId="39" fontId="39" fillId="0" borderId="0" xfId="7" quotePrefix="1" applyFont="1" applyAlignment="1" applyProtection="1">
      <alignment horizontal="right"/>
    </xf>
    <xf numFmtId="169" fontId="43" fillId="0" borderId="0" xfId="7" applyNumberFormat="1" applyFont="1" applyAlignment="1" applyProtection="1">
      <alignment horizontal="left"/>
      <protection locked="0"/>
    </xf>
    <xf numFmtId="39" fontId="39" fillId="0" borderId="0" xfId="7" quotePrefix="1" applyFont="1" applyAlignment="1" applyProtection="1">
      <alignment horizontal="left"/>
    </xf>
    <xf numFmtId="39" fontId="39" fillId="0" borderId="0" xfId="7" applyFont="1" applyAlignment="1" applyProtection="1">
      <alignment horizontal="right"/>
    </xf>
    <xf numFmtId="39" fontId="39" fillId="0" borderId="30" xfId="7" applyFont="1" applyBorder="1" applyAlignment="1" applyProtection="1">
      <alignment horizontal="left"/>
    </xf>
    <xf numFmtId="39" fontId="39" fillId="0" borderId="30" xfId="7" applyFont="1" applyBorder="1"/>
    <xf numFmtId="1" fontId="39" fillId="0" borderId="0" xfId="7" applyNumberFormat="1" applyFont="1" applyAlignment="1">
      <alignment horizontal="left"/>
    </xf>
    <xf numFmtId="39" fontId="39" fillId="0" borderId="0" xfId="7" applyFont="1" applyProtection="1"/>
    <xf numFmtId="39" fontId="39" fillId="0" borderId="14" xfId="7" applyFont="1" applyBorder="1" applyAlignment="1">
      <alignment horizontal="right"/>
    </xf>
    <xf numFmtId="39" fontId="39" fillId="0" borderId="31" xfId="7" applyFont="1" applyBorder="1" applyAlignment="1" applyProtection="1"/>
    <xf numFmtId="39" fontId="39" fillId="0" borderId="31" xfId="7" applyFont="1" applyBorder="1" applyAlignment="1" applyProtection="1">
      <alignment horizontal="center"/>
    </xf>
    <xf numFmtId="39" fontId="39" fillId="0" borderId="32" xfId="7" applyFont="1" applyBorder="1" applyAlignment="1" applyProtection="1">
      <alignment horizontal="center"/>
    </xf>
    <xf numFmtId="39" fontId="39" fillId="0" borderId="13" xfId="7" applyFont="1" applyBorder="1" applyAlignment="1" applyProtection="1">
      <alignment horizontal="left"/>
    </xf>
    <xf numFmtId="168" fontId="39" fillId="0" borderId="0" xfId="7" applyNumberFormat="1" applyFont="1" applyProtection="1"/>
    <xf numFmtId="39" fontId="39" fillId="0" borderId="14" xfId="7" applyFont="1" applyBorder="1"/>
    <xf numFmtId="165" fontId="39" fillId="0" borderId="14" xfId="7" applyNumberFormat="1" applyFont="1" applyBorder="1" applyAlignment="1">
      <alignment horizontal="center"/>
    </xf>
    <xf numFmtId="39" fontId="39" fillId="0" borderId="4" xfId="7" applyFont="1" applyBorder="1"/>
    <xf numFmtId="170" fontId="39" fillId="0" borderId="14" xfId="7" quotePrefix="1" applyNumberFormat="1" applyFont="1" applyBorder="1" applyAlignment="1" applyProtection="1">
      <alignment horizontal="right"/>
    </xf>
    <xf numFmtId="39" fontId="39" fillId="0" borderId="10" xfId="7" applyFont="1" applyBorder="1" applyProtection="1"/>
    <xf numFmtId="165" fontId="39" fillId="0" borderId="10" xfId="7" quotePrefix="1" applyNumberFormat="1" applyFont="1" applyBorder="1" applyAlignment="1" applyProtection="1">
      <alignment horizontal="center"/>
    </xf>
    <xf numFmtId="49" fontId="39" fillId="0" borderId="10" xfId="7" quotePrefix="1" applyNumberFormat="1" applyFont="1" applyBorder="1" applyAlignment="1" applyProtection="1">
      <alignment horizontal="center"/>
    </xf>
    <xf numFmtId="43" fontId="39" fillId="0" borderId="4" xfId="1" applyFont="1" applyBorder="1" applyProtection="1"/>
    <xf numFmtId="7" fontId="39" fillId="0" borderId="4" xfId="7" applyNumberFormat="1" applyFont="1" applyBorder="1" applyProtection="1"/>
    <xf numFmtId="39" fontId="39" fillId="0" borderId="13" xfId="7" applyFont="1" applyBorder="1"/>
    <xf numFmtId="170" fontId="39" fillId="0" borderId="14" xfId="7" applyNumberFormat="1" applyFont="1" applyBorder="1" applyAlignment="1" applyProtection="1">
      <alignment horizontal="right"/>
    </xf>
    <xf numFmtId="165" fontId="39" fillId="0" borderId="17" xfId="7" applyNumberFormat="1" applyFont="1" applyBorder="1" applyAlignment="1" applyProtection="1">
      <alignment horizontal="center"/>
    </xf>
    <xf numFmtId="39" fontId="39" fillId="0" borderId="17" xfId="7" applyFont="1" applyBorder="1" applyProtection="1"/>
    <xf numFmtId="7" fontId="39" fillId="0" borderId="17" xfId="7" applyNumberFormat="1" applyFont="1" applyBorder="1" applyProtection="1"/>
    <xf numFmtId="39" fontId="39" fillId="0" borderId="10" xfId="7" applyFont="1" applyBorder="1" applyAlignment="1" applyProtection="1">
      <alignment horizontal="left"/>
    </xf>
    <xf numFmtId="49" fontId="39" fillId="0" borderId="4" xfId="7" quotePrefix="1" applyNumberFormat="1" applyFont="1" applyBorder="1" applyAlignment="1" applyProtection="1">
      <alignment horizontal="center"/>
    </xf>
    <xf numFmtId="39" fontId="39" fillId="0" borderId="4" xfId="7" applyFont="1" applyBorder="1" applyProtection="1"/>
    <xf numFmtId="39" fontId="39" fillId="0" borderId="4" xfId="7" applyNumberFormat="1" applyFont="1" applyBorder="1" applyProtection="1"/>
    <xf numFmtId="165" fontId="39" fillId="0" borderId="4" xfId="7" applyNumberFormat="1" applyFont="1" applyBorder="1" applyAlignment="1">
      <alignment horizontal="center"/>
    </xf>
    <xf numFmtId="49" fontId="39" fillId="0" borderId="17" xfId="7" quotePrefix="1" applyNumberFormat="1" applyFont="1" applyBorder="1" applyAlignment="1" applyProtection="1">
      <alignment horizontal="center"/>
    </xf>
    <xf numFmtId="43" fontId="39" fillId="0" borderId="17" xfId="1" applyFont="1" applyBorder="1" applyProtection="1"/>
    <xf numFmtId="169" fontId="43" fillId="0" borderId="0" xfId="7" applyNumberFormat="1" applyFont="1" applyAlignment="1" applyProtection="1">
      <alignment horizontal="fill"/>
      <protection locked="0"/>
    </xf>
    <xf numFmtId="39" fontId="39" fillId="0" borderId="4" xfId="7" quotePrefix="1" applyFont="1" applyBorder="1" applyAlignment="1">
      <alignment horizontal="center"/>
    </xf>
    <xf numFmtId="39" fontId="39" fillId="0" borderId="17" xfId="7" applyNumberFormat="1" applyFont="1" applyBorder="1" applyProtection="1"/>
    <xf numFmtId="37" fontId="39" fillId="0" borderId="0" xfId="7" applyNumberFormat="1" applyFont="1" applyProtection="1"/>
    <xf numFmtId="169" fontId="39" fillId="0" borderId="0" xfId="7" applyNumberFormat="1" applyFont="1" applyAlignment="1" applyProtection="1">
      <alignment horizontal="left"/>
    </xf>
    <xf numFmtId="169" fontId="39" fillId="0" borderId="0" xfId="7" applyNumberFormat="1" applyFont="1" applyAlignment="1" applyProtection="1">
      <alignment horizontal="right"/>
    </xf>
    <xf numFmtId="39" fontId="39" fillId="0" borderId="0" xfId="7" applyNumberFormat="1" applyFont="1" applyProtection="1"/>
    <xf numFmtId="39" fontId="39" fillId="0" borderId="17" xfId="7" applyFont="1" applyBorder="1"/>
    <xf numFmtId="169" fontId="39" fillId="0" borderId="0" xfId="7" applyNumberFormat="1" applyFont="1" applyProtection="1"/>
    <xf numFmtId="39" fontId="39" fillId="0" borderId="0" xfId="7" applyNumberFormat="1" applyFont="1" applyAlignment="1" applyProtection="1">
      <alignment horizontal="left"/>
    </xf>
    <xf numFmtId="39" fontId="39" fillId="0" borderId="14" xfId="7" applyFont="1" applyBorder="1" applyAlignment="1" applyProtection="1">
      <alignment horizontal="right"/>
    </xf>
    <xf numFmtId="165" fontId="39" fillId="0" borderId="17" xfId="7" applyNumberFormat="1" applyFont="1" applyBorder="1" applyAlignment="1">
      <alignment horizontal="center"/>
    </xf>
    <xf numFmtId="49" fontId="39" fillId="0" borderId="17" xfId="7" applyNumberFormat="1" applyFont="1" applyBorder="1" applyAlignment="1">
      <alignment horizontal="center"/>
    </xf>
    <xf numFmtId="39" fontId="39" fillId="0" borderId="22" xfId="7" applyNumberFormat="1" applyFont="1" applyBorder="1" applyProtection="1"/>
    <xf numFmtId="170" fontId="39" fillId="0" borderId="0" xfId="7" applyNumberFormat="1" applyFont="1" applyProtection="1"/>
    <xf numFmtId="39" fontId="39" fillId="0" borderId="0" xfId="7" quotePrefix="1" applyFont="1" applyAlignment="1">
      <alignment horizontal="left"/>
    </xf>
    <xf numFmtId="43" fontId="39" fillId="0" borderId="0" xfId="1" quotePrefix="1" applyFont="1" applyAlignment="1" applyProtection="1">
      <alignment horizontal="right"/>
    </xf>
    <xf numFmtId="39" fontId="39" fillId="0" borderId="0" xfId="7" applyFont="1" applyBorder="1" applyAlignment="1" applyProtection="1">
      <alignment horizontal="right"/>
    </xf>
    <xf numFmtId="39" fontId="39" fillId="0" borderId="0" xfId="7" quotePrefix="1" applyFont="1"/>
    <xf numFmtId="39" fontId="43" fillId="0" borderId="0" xfId="7" applyFont="1" applyProtection="1">
      <protection locked="0"/>
    </xf>
    <xf numFmtId="170" fontId="39" fillId="0" borderId="0" xfId="7" applyNumberFormat="1" applyFont="1" applyAlignment="1" applyProtection="1">
      <alignment horizontal="left"/>
    </xf>
    <xf numFmtId="39" fontId="23" fillId="0" borderId="0" xfId="0" applyFont="1" applyBorder="1" applyAlignment="1">
      <alignment horizontal="right"/>
    </xf>
    <xf numFmtId="39" fontId="37" fillId="0" borderId="0" xfId="0" applyFont="1"/>
    <xf numFmtId="39" fontId="23" fillId="0" borderId="0" xfId="0" applyFont="1" applyBorder="1" applyAlignment="1">
      <alignment wrapText="1"/>
    </xf>
    <xf numFmtId="2" fontId="23" fillId="0" borderId="0" xfId="0" applyNumberFormat="1" applyFont="1" applyBorder="1" applyAlignment="1">
      <alignment wrapText="1"/>
    </xf>
    <xf numFmtId="39" fontId="23" fillId="0" borderId="0" xfId="0" applyFont="1" applyAlignment="1" applyProtection="1">
      <alignment horizontal="centerContinuous"/>
    </xf>
    <xf numFmtId="39" fontId="23" fillId="0" borderId="0" xfId="0" quotePrefix="1" applyFont="1" applyAlignment="1" applyProtection="1">
      <alignment horizontal="left"/>
    </xf>
    <xf numFmtId="39" fontId="22" fillId="0" borderId="5" xfId="0" applyFont="1" applyBorder="1"/>
    <xf numFmtId="39" fontId="22" fillId="0" borderId="10" xfId="0" applyFont="1" applyBorder="1" applyAlignment="1" applyProtection="1">
      <alignment horizontal="right"/>
    </xf>
    <xf numFmtId="165" fontId="39" fillId="0" borderId="4" xfId="0" applyNumberFormat="1" applyFont="1" applyBorder="1" applyAlignment="1" applyProtection="1">
      <alignment horizontal="center"/>
    </xf>
    <xf numFmtId="39" fontId="22" fillId="0" borderId="0" xfId="0" applyFont="1" applyAlignment="1" applyProtection="1">
      <alignment horizontal="left"/>
    </xf>
    <xf numFmtId="39" fontId="22" fillId="0" borderId="0" xfId="0" quotePrefix="1" applyFont="1" applyAlignment="1" applyProtection="1">
      <alignment horizontal="left"/>
    </xf>
    <xf numFmtId="39" fontId="22" fillId="0" borderId="5" xfId="0" applyFont="1" applyBorder="1" applyAlignment="1">
      <alignment horizontal="centerContinuous"/>
    </xf>
    <xf numFmtId="39" fontId="22" fillId="0" borderId="9" xfId="0" applyFont="1" applyBorder="1" applyAlignment="1">
      <alignment horizontal="centerContinuous"/>
    </xf>
    <xf numFmtId="39" fontId="23" fillId="0" borderId="22" xfId="0" applyFont="1" applyBorder="1"/>
    <xf numFmtId="39" fontId="22" fillId="0" borderId="4" xfId="0" applyFont="1" applyBorder="1" applyAlignment="1">
      <alignment horizontal="center"/>
    </xf>
    <xf numFmtId="39" fontId="37" fillId="0" borderId="5" xfId="0" applyFont="1" applyBorder="1" applyAlignment="1" applyProtection="1">
      <alignment horizontal="left"/>
    </xf>
    <xf numFmtId="39" fontId="37" fillId="0" borderId="5" xfId="0" applyFont="1" applyBorder="1"/>
    <xf numFmtId="172" fontId="22" fillId="0" borderId="0" xfId="0" applyNumberFormat="1" applyFont="1" applyProtection="1">
      <protection locked="0"/>
    </xf>
    <xf numFmtId="39" fontId="23" fillId="0" borderId="33" xfId="0" applyFont="1" applyBorder="1"/>
    <xf numFmtId="39" fontId="37" fillId="0" borderId="5" xfId="0" applyFont="1" applyBorder="1" applyAlignment="1" applyProtection="1">
      <alignment horizontal="left"/>
      <protection locked="0"/>
    </xf>
    <xf numFmtId="39" fontId="22" fillId="0" borderId="0" xfId="0" applyFont="1" applyBorder="1" applyAlignment="1">
      <alignment horizontal="center"/>
    </xf>
    <xf numFmtId="39" fontId="37" fillId="0" borderId="13" xfId="0" quotePrefix="1" applyFont="1" applyBorder="1" applyAlignment="1" applyProtection="1">
      <alignment horizontal="left"/>
      <protection locked="0"/>
    </xf>
    <xf numFmtId="39" fontId="37" fillId="0" borderId="21" xfId="0" quotePrefix="1" applyFont="1" applyBorder="1" applyAlignment="1" applyProtection="1">
      <alignment horizontal="left"/>
      <protection locked="0"/>
    </xf>
    <xf numFmtId="39" fontId="44" fillId="0" borderId="15" xfId="0" applyFont="1" applyBorder="1" applyAlignment="1">
      <alignment horizontal="right" vertical="center"/>
    </xf>
    <xf numFmtId="39" fontId="37" fillId="0" borderId="11" xfId="0" quotePrefix="1" applyFont="1" applyBorder="1" applyAlignment="1" applyProtection="1">
      <alignment horizontal="left"/>
      <protection locked="0"/>
    </xf>
    <xf numFmtId="39" fontId="23" fillId="0" borderId="0" xfId="0" quotePrefix="1" applyFont="1" applyBorder="1" applyAlignment="1" applyProtection="1">
      <alignment horizontal="left"/>
    </xf>
    <xf numFmtId="39" fontId="23" fillId="0" borderId="14" xfId="0" applyFont="1" applyBorder="1" applyAlignment="1" applyProtection="1">
      <alignment horizontal="left"/>
    </xf>
    <xf numFmtId="39" fontId="44" fillId="0" borderId="0" xfId="0" applyFont="1" applyAlignment="1">
      <alignment horizontal="center"/>
    </xf>
    <xf numFmtId="39" fontId="23" fillId="0" borderId="22" xfId="0" quotePrefix="1" applyFont="1" applyBorder="1" applyAlignment="1" applyProtection="1">
      <alignment horizontal="centerContinuous"/>
    </xf>
    <xf numFmtId="39" fontId="23" fillId="0" borderId="17" xfId="0" applyFont="1" applyBorder="1" applyAlignment="1" applyProtection="1">
      <alignment horizontal="centerContinuous"/>
    </xf>
    <xf numFmtId="39" fontId="23" fillId="0" borderId="0" xfId="0" applyFont="1" applyBorder="1" applyAlignment="1" applyProtection="1">
      <alignment horizontal="left"/>
    </xf>
    <xf numFmtId="39" fontId="29" fillId="0" borderId="2" xfId="0" applyFont="1" applyBorder="1" applyAlignment="1">
      <alignment horizontal="center"/>
    </xf>
    <xf numFmtId="39" fontId="29" fillId="0" borderId="11" xfId="0" applyFont="1" applyBorder="1" applyAlignment="1">
      <alignment horizontal="center"/>
    </xf>
    <xf numFmtId="39" fontId="29" fillId="0" borderId="1" xfId="0" applyFont="1" applyBorder="1" applyAlignment="1">
      <alignment horizontal="center"/>
    </xf>
    <xf numFmtId="39" fontId="29" fillId="0" borderId="21" xfId="0" applyFont="1" applyBorder="1" applyAlignment="1">
      <alignment horizontal="center"/>
    </xf>
    <xf numFmtId="39" fontId="23" fillId="0" borderId="3" xfId="0" applyFont="1" applyBorder="1" applyAlignment="1">
      <alignment horizontal="center"/>
    </xf>
    <xf numFmtId="39" fontId="22" fillId="0" borderId="0" xfId="1" applyNumberFormat="1" applyFont="1" applyBorder="1" applyAlignment="1">
      <alignment horizontal="right"/>
    </xf>
    <xf numFmtId="39" fontId="22" fillId="0" borderId="3" xfId="1" applyNumberFormat="1" applyFont="1" applyBorder="1" applyAlignment="1">
      <alignment horizontal="right"/>
    </xf>
    <xf numFmtId="166" fontId="29" fillId="0" borderId="2" xfId="1" applyNumberFormat="1" applyFont="1" applyBorder="1" applyAlignment="1">
      <alignment horizontal="center"/>
    </xf>
    <xf numFmtId="166" fontId="29" fillId="0" borderId="3" xfId="1" applyNumberFormat="1" applyFont="1" applyBorder="1" applyAlignment="1">
      <alignment horizontal="center"/>
    </xf>
    <xf numFmtId="166" fontId="29" fillId="0" borderId="1" xfId="1" applyNumberFormat="1" applyFont="1" applyBorder="1" applyAlignment="1">
      <alignment horizontal="center"/>
    </xf>
    <xf numFmtId="39" fontId="37" fillId="0" borderId="8" xfId="0" applyFont="1" applyBorder="1" applyAlignment="1">
      <alignment horizontal="center"/>
    </xf>
    <xf numFmtId="39" fontId="37" fillId="0" borderId="8" xfId="0" applyFont="1" applyBorder="1" applyAlignment="1" applyProtection="1">
      <alignment horizontal="center"/>
    </xf>
    <xf numFmtId="39" fontId="29" fillId="0" borderId="34" xfId="0" applyNumberFormat="1" applyFont="1" applyBorder="1"/>
    <xf numFmtId="39" fontId="37" fillId="0" borderId="8" xfId="0" applyFont="1" applyBorder="1"/>
    <xf numFmtId="43" fontId="37" fillId="0" borderId="0" xfId="1" quotePrefix="1" applyFont="1" applyAlignment="1" applyProtection="1">
      <alignment horizontal="left"/>
    </xf>
    <xf numFmtId="43" fontId="23" fillId="0" borderId="0" xfId="1" quotePrefix="1" applyFont="1" applyAlignment="1" applyProtection="1">
      <alignment horizontal="left"/>
    </xf>
    <xf numFmtId="43" fontId="23" fillId="0" borderId="0" xfId="1" applyFont="1"/>
    <xf numFmtId="39" fontId="45" fillId="0" borderId="0" xfId="0" applyFont="1" applyProtection="1">
      <protection locked="0"/>
    </xf>
    <xf numFmtId="43" fontId="32" fillId="0" borderId="0" xfId="1" applyFont="1" applyAlignment="1" applyProtection="1">
      <alignment horizontal="fill"/>
      <protection locked="0"/>
    </xf>
    <xf numFmtId="39" fontId="40" fillId="0" borderId="0" xfId="13" applyFont="1" applyAlignment="1" applyProtection="1">
      <alignment horizontal="left"/>
    </xf>
    <xf numFmtId="39" fontId="24" fillId="5" borderId="5" xfId="0" applyFont="1" applyFill="1" applyBorder="1" applyAlignment="1">
      <alignment horizontal="centerContinuous"/>
    </xf>
    <xf numFmtId="39" fontId="25" fillId="5" borderId="9" xfId="0" applyFont="1" applyFill="1" applyBorder="1" applyAlignment="1">
      <alignment horizontal="centerContinuous"/>
    </xf>
    <xf numFmtId="39" fontId="25" fillId="5" borderId="10" xfId="0" applyFont="1" applyFill="1" applyBorder="1" applyAlignment="1">
      <alignment horizontal="centerContinuous"/>
    </xf>
    <xf numFmtId="39" fontId="23" fillId="5" borderId="5" xfId="0" applyFont="1" applyFill="1" applyBorder="1" applyAlignment="1">
      <alignment horizontal="centerContinuous"/>
    </xf>
    <xf numFmtId="39" fontId="23" fillId="5" borderId="9" xfId="0" applyFont="1" applyFill="1" applyBorder="1" applyAlignment="1">
      <alignment horizontal="centerContinuous"/>
    </xf>
    <xf numFmtId="39" fontId="23" fillId="5" borderId="10" xfId="0" applyFont="1" applyFill="1" applyBorder="1" applyAlignment="1">
      <alignment horizontal="centerContinuous"/>
    </xf>
    <xf numFmtId="174" fontId="23" fillId="5" borderId="5" xfId="0" applyNumberFormat="1" applyFont="1" applyFill="1" applyBorder="1" applyAlignment="1">
      <alignment horizontal="centerContinuous"/>
    </xf>
    <xf numFmtId="39" fontId="23" fillId="5" borderId="5" xfId="0" applyFont="1" applyFill="1" applyBorder="1" applyAlignment="1" applyProtection="1">
      <alignment horizontal="centerContinuous"/>
    </xf>
    <xf numFmtId="0" fontId="23" fillId="0" borderId="0" xfId="8" applyFont="1" applyFill="1" applyAlignment="1">
      <alignment horizontal="right"/>
    </xf>
    <xf numFmtId="39" fontId="23" fillId="0" borderId="0" xfId="0" applyFont="1" applyFill="1"/>
    <xf numFmtId="39" fontId="37" fillId="0" borderId="0" xfId="0" applyFont="1" applyFill="1" applyAlignment="1">
      <alignment horizontal="left"/>
    </xf>
    <xf numFmtId="39" fontId="22" fillId="0" borderId="0" xfId="0" applyFont="1" applyFill="1"/>
    <xf numFmtId="39" fontId="23" fillId="0" borderId="50" xfId="0" applyFont="1" applyFill="1" applyBorder="1" applyAlignment="1">
      <alignment horizontal="right"/>
    </xf>
    <xf numFmtId="39" fontId="48" fillId="0" borderId="0" xfId="0" applyFont="1" applyFill="1" applyBorder="1" applyAlignment="1">
      <alignment horizontal="right"/>
    </xf>
    <xf numFmtId="39" fontId="36" fillId="0" borderId="0" xfId="0" applyFont="1" applyFill="1" applyBorder="1"/>
    <xf numFmtId="39" fontId="27" fillId="0" borderId="52" xfId="0" applyFont="1" applyFill="1" applyBorder="1" applyAlignment="1">
      <alignment horizontal="centerContinuous"/>
    </xf>
    <xf numFmtId="39" fontId="36" fillId="0" borderId="53" xfId="0" applyFont="1" applyFill="1" applyBorder="1" applyAlignment="1">
      <alignment horizontal="centerContinuous"/>
    </xf>
    <xf numFmtId="39" fontId="27" fillId="0" borderId="54" xfId="0" applyFont="1" applyFill="1" applyBorder="1" applyAlignment="1">
      <alignment horizontal="centerContinuous"/>
    </xf>
    <xf numFmtId="39" fontId="36" fillId="0" borderId="55" xfId="0" applyFont="1" applyFill="1" applyBorder="1" applyAlignment="1">
      <alignment horizontal="centerContinuous"/>
    </xf>
    <xf numFmtId="0" fontId="34" fillId="0" borderId="0" xfId="8" applyFont="1" applyFill="1"/>
    <xf numFmtId="39" fontId="44" fillId="0" borderId="20" xfId="0" applyFont="1" applyFill="1" applyBorder="1" applyAlignment="1">
      <alignment horizontal="centerContinuous"/>
    </xf>
    <xf numFmtId="39" fontId="23" fillId="0" borderId="48" xfId="0" applyFont="1" applyFill="1" applyBorder="1" applyAlignment="1">
      <alignment horizontal="centerContinuous"/>
    </xf>
    <xf numFmtId="37" fontId="23" fillId="0" borderId="0" xfId="0" applyNumberFormat="1" applyFont="1" applyFill="1" applyProtection="1"/>
    <xf numFmtId="0" fontId="27" fillId="0" borderId="57" xfId="8" applyFont="1" applyFill="1" applyBorder="1" applyAlignment="1">
      <alignment horizontal="right"/>
    </xf>
    <xf numFmtId="0" fontId="36" fillId="0" borderId="58" xfId="8" applyFont="1" applyFill="1" applyBorder="1" applyAlignment="1">
      <alignment horizontal="left"/>
    </xf>
    <xf numFmtId="39" fontId="23" fillId="0" borderId="0" xfId="0" applyNumberFormat="1" applyFont="1" applyFill="1" applyProtection="1"/>
    <xf numFmtId="43" fontId="23" fillId="0" borderId="0" xfId="1" applyNumberFormat="1" applyFont="1" applyFill="1"/>
    <xf numFmtId="164" fontId="23" fillId="0" borderId="58" xfId="17" applyNumberFormat="1" applyFont="1" applyFill="1" applyBorder="1" applyAlignment="1">
      <alignment horizontal="left"/>
    </xf>
    <xf numFmtId="0" fontId="23" fillId="0" borderId="58" xfId="8" applyFont="1" applyFill="1" applyBorder="1" applyAlignment="1">
      <alignment horizontal="left"/>
    </xf>
    <xf numFmtId="14" fontId="23" fillId="0" borderId="58" xfId="8" applyNumberFormat="1" applyFont="1" applyFill="1" applyBorder="1" applyAlignment="1">
      <alignment horizontal="left"/>
    </xf>
    <xf numFmtId="0" fontId="27" fillId="0" borderId="59" xfId="8" quotePrefix="1" applyFont="1" applyFill="1" applyBorder="1" applyAlignment="1">
      <alignment horizontal="right"/>
    </xf>
    <xf numFmtId="39" fontId="23" fillId="0" borderId="51" xfId="0" applyFont="1" applyFill="1" applyBorder="1"/>
    <xf numFmtId="0" fontId="27" fillId="0" borderId="0" xfId="8" quotePrefix="1" applyFont="1" applyFill="1" applyBorder="1" applyAlignment="1">
      <alignment horizontal="right"/>
    </xf>
    <xf numFmtId="39" fontId="23" fillId="0" borderId="0" xfId="0" applyFont="1" applyFill="1" applyBorder="1"/>
    <xf numFmtId="39" fontId="23" fillId="0" borderId="0" xfId="8" applyNumberFormat="1" applyFont="1" applyFill="1" applyBorder="1"/>
    <xf numFmtId="39" fontId="23" fillId="0" borderId="0" xfId="0" applyFont="1" applyFill="1" applyBorder="1" applyAlignment="1">
      <alignment horizontal="centerContinuous"/>
    </xf>
    <xf numFmtId="39" fontId="23" fillId="0" borderId="0" xfId="0" applyFont="1" applyFill="1" applyBorder="1" applyAlignment="1">
      <alignment horizontal="center"/>
    </xf>
    <xf numFmtId="164" fontId="23" fillId="0" borderId="0" xfId="17" applyNumberFormat="1" applyFont="1" applyFill="1" applyBorder="1" applyAlignment="1">
      <alignment horizontal="left"/>
    </xf>
    <xf numFmtId="39" fontId="23" fillId="0" borderId="0" xfId="0" applyFont="1" applyFill="1" applyAlignment="1">
      <alignment vertical="center"/>
    </xf>
    <xf numFmtId="39" fontId="37" fillId="0" borderId="0" xfId="0" applyFont="1" applyFill="1" applyAlignment="1">
      <alignment horizontal="center"/>
    </xf>
    <xf numFmtId="167" fontId="23" fillId="0" borderId="0" xfId="8" applyNumberFormat="1" applyFont="1" applyFill="1"/>
    <xf numFmtId="167" fontId="23" fillId="0" borderId="4" xfId="10" applyNumberFormat="1" applyFont="1" applyFill="1" applyBorder="1" applyAlignment="1">
      <alignment horizontal="center"/>
    </xf>
    <xf numFmtId="43" fontId="23" fillId="0" borderId="4" xfId="1" applyFont="1" applyFill="1" applyBorder="1"/>
    <xf numFmtId="167" fontId="23" fillId="0" borderId="4" xfId="1" applyNumberFormat="1" applyFont="1" applyFill="1" applyBorder="1" applyAlignment="1">
      <alignment horizontal="center"/>
    </xf>
    <xf numFmtId="39" fontId="37" fillId="0" borderId="0" xfId="0" applyFont="1" applyFill="1"/>
    <xf numFmtId="0" fontId="23" fillId="0" borderId="0" xfId="8" applyFont="1" applyFill="1" applyBorder="1" applyAlignment="1">
      <alignment horizontal="right"/>
    </xf>
    <xf numFmtId="39" fontId="36" fillId="0" borderId="0" xfId="1" applyNumberFormat="1" applyFont="1" applyFill="1" applyBorder="1" applyAlignment="1">
      <alignment horizontal="right"/>
    </xf>
    <xf numFmtId="39" fontId="36" fillId="0" borderId="0" xfId="0" applyFont="1" applyFill="1"/>
    <xf numFmtId="39" fontId="23" fillId="0" borderId="20" xfId="0" applyFont="1" applyFill="1" applyBorder="1"/>
    <xf numFmtId="39" fontId="36" fillId="0" borderId="0" xfId="0" applyFont="1" applyFill="1" applyBorder="1" applyAlignment="1">
      <alignment horizontal="right"/>
    </xf>
    <xf numFmtId="0" fontId="37" fillId="0" borderId="0" xfId="8" applyFont="1" applyFill="1"/>
    <xf numFmtId="44" fontId="46" fillId="0" borderId="69" xfId="8" applyNumberFormat="1" applyFont="1" applyFill="1" applyBorder="1" applyAlignment="1">
      <alignment horizontal="left"/>
    </xf>
    <xf numFmtId="39" fontId="36" fillId="0" borderId="4" xfId="0" applyFont="1" applyFill="1" applyBorder="1"/>
    <xf numFmtId="39" fontId="48" fillId="0" borderId="0" xfId="0" applyNumberFormat="1" applyFont="1" applyFill="1" applyBorder="1" applyAlignment="1" applyProtection="1">
      <alignment horizontal="left"/>
    </xf>
    <xf numFmtId="0" fontId="36" fillId="0" borderId="0" xfId="8" applyFont="1" applyFill="1" applyBorder="1" applyAlignment="1">
      <alignment horizontal="right"/>
    </xf>
    <xf numFmtId="43" fontId="36" fillId="0" borderId="0" xfId="1" applyFont="1" applyFill="1" applyBorder="1" applyAlignment="1">
      <alignment horizontal="left"/>
    </xf>
    <xf numFmtId="39" fontId="36" fillId="0" borderId="65" xfId="0" applyFont="1" applyFill="1" applyBorder="1"/>
    <xf numFmtId="39" fontId="51" fillId="0" borderId="0" xfId="1" applyNumberFormat="1" applyFont="1" applyFill="1" applyBorder="1" applyAlignment="1">
      <alignment horizontal="right"/>
    </xf>
    <xf numFmtId="0" fontId="23" fillId="0" borderId="70" xfId="8" applyFont="1" applyFill="1" applyBorder="1"/>
    <xf numFmtId="39" fontId="46" fillId="0" borderId="0" xfId="0" applyFont="1" applyFill="1" applyBorder="1" applyAlignment="1">
      <alignment horizontal="centerContinuous"/>
    </xf>
    <xf numFmtId="39" fontId="27" fillId="0" borderId="0" xfId="0" applyFont="1" applyFill="1" applyBorder="1" applyAlignment="1">
      <alignment horizontal="centerContinuous"/>
    </xf>
    <xf numFmtId="0" fontId="23" fillId="0" borderId="72" xfId="8" applyFont="1" applyFill="1" applyBorder="1" applyAlignment="1">
      <alignment horizontal="right"/>
    </xf>
    <xf numFmtId="39" fontId="49" fillId="0" borderId="0" xfId="0" applyFont="1" applyFill="1" applyBorder="1" applyAlignment="1">
      <alignment horizontal="right" vertical="center"/>
    </xf>
    <xf numFmtId="39" fontId="23" fillId="0" borderId="57" xfId="0" applyFont="1" applyFill="1" applyBorder="1" applyAlignment="1">
      <alignment horizontal="right"/>
    </xf>
    <xf numFmtId="0" fontId="23" fillId="0" borderId="66" xfId="8" applyFont="1" applyFill="1" applyBorder="1"/>
    <xf numFmtId="39" fontId="23" fillId="0" borderId="47" xfId="0" applyFont="1" applyFill="1" applyBorder="1"/>
    <xf numFmtId="0" fontId="29" fillId="0" borderId="0" xfId="8" applyFont="1" applyFill="1"/>
    <xf numFmtId="0" fontId="22" fillId="0" borderId="63" xfId="8" applyFont="1" applyFill="1" applyBorder="1"/>
    <xf numFmtId="0" fontId="22" fillId="0" borderId="68" xfId="8" applyFont="1" applyFill="1" applyBorder="1" applyAlignment="1">
      <alignment horizontal="right"/>
    </xf>
    <xf numFmtId="39" fontId="49" fillId="0" borderId="0" xfId="0" applyFont="1" applyFill="1" applyBorder="1" applyAlignment="1">
      <alignment horizontal="centerContinuous" vertical="center"/>
    </xf>
    <xf numFmtId="39" fontId="28" fillId="2" borderId="56" xfId="0" applyFont="1" applyFill="1" applyBorder="1" applyAlignment="1">
      <alignment horizontal="center" wrapText="1"/>
    </xf>
    <xf numFmtId="39" fontId="22" fillId="0" borderId="11" xfId="0" applyFont="1" applyFill="1" applyBorder="1"/>
    <xf numFmtId="39" fontId="22" fillId="0" borderId="12" xfId="0" applyFont="1" applyFill="1" applyBorder="1"/>
    <xf numFmtId="39" fontId="22" fillId="0" borderId="13" xfId="0" applyFont="1" applyFill="1" applyBorder="1"/>
    <xf numFmtId="39" fontId="22" fillId="0" borderId="14" xfId="0" applyFont="1" applyFill="1" applyBorder="1"/>
    <xf numFmtId="39" fontId="23" fillId="0" borderId="70" xfId="0" applyFont="1" applyFill="1" applyBorder="1"/>
    <xf numFmtId="39" fontId="23" fillId="0" borderId="72" xfId="0" applyFont="1" applyFill="1" applyBorder="1"/>
    <xf numFmtId="39" fontId="22" fillId="0" borderId="17" xfId="0" applyFont="1" applyFill="1" applyBorder="1"/>
    <xf numFmtId="39" fontId="22" fillId="0" borderId="21" xfId="0" applyFont="1" applyFill="1" applyBorder="1"/>
    <xf numFmtId="39" fontId="22" fillId="0" borderId="0" xfId="0" applyFont="1" applyFill="1" applyBorder="1"/>
    <xf numFmtId="0" fontId="29" fillId="0" borderId="63" xfId="8" applyFont="1" applyFill="1" applyBorder="1" applyAlignment="1">
      <alignment horizontal="centerContinuous"/>
    </xf>
    <xf numFmtId="39" fontId="29" fillId="0" borderId="64" xfId="0" applyFont="1" applyFill="1" applyBorder="1" applyAlignment="1">
      <alignment horizontal="centerContinuous"/>
    </xf>
    <xf numFmtId="39" fontId="29" fillId="0" borderId="68" xfId="0" applyFont="1" applyFill="1" applyBorder="1" applyAlignment="1">
      <alignment horizontal="centerContinuous"/>
    </xf>
    <xf numFmtId="0" fontId="23" fillId="0" borderId="9" xfId="8" applyFont="1" applyFill="1" applyBorder="1" applyAlignment="1">
      <alignment horizontal="centerContinuous"/>
    </xf>
    <xf numFmtId="0" fontId="29" fillId="0" borderId="66" xfId="8" applyFont="1" applyFill="1" applyBorder="1" applyAlignment="1">
      <alignment horizontal="centerContinuous"/>
    </xf>
    <xf numFmtId="39" fontId="29" fillId="0" borderId="47" xfId="0" applyFont="1" applyFill="1" applyBorder="1" applyAlignment="1">
      <alignment horizontal="centerContinuous"/>
    </xf>
    <xf numFmtId="39" fontId="29" fillId="0" borderId="71" xfId="0" applyFont="1" applyFill="1" applyBorder="1" applyAlignment="1">
      <alignment horizontal="centerContinuous"/>
    </xf>
    <xf numFmtId="0" fontId="29" fillId="0" borderId="56" xfId="8" applyFont="1" applyFill="1" applyBorder="1" applyAlignment="1">
      <alignment horizontal="center"/>
    </xf>
    <xf numFmtId="0" fontId="29" fillId="0" borderId="67" xfId="8" applyFont="1" applyFill="1" applyBorder="1" applyAlignment="1">
      <alignment horizontal="center"/>
    </xf>
    <xf numFmtId="39" fontId="29" fillId="0" borderId="56" xfId="0" applyFont="1" applyFill="1" applyBorder="1" applyAlignment="1">
      <alignment horizontal="center"/>
    </xf>
    <xf numFmtId="0" fontId="29" fillId="0" borderId="70" xfId="8" applyFont="1" applyFill="1" applyBorder="1"/>
    <xf numFmtId="39" fontId="29" fillId="0" borderId="50" xfId="0" applyFont="1" applyFill="1" applyBorder="1" applyAlignment="1">
      <alignment horizontal="right"/>
    </xf>
    <xf numFmtId="39" fontId="29" fillId="0" borderId="73" xfId="0" applyFont="1" applyFill="1" applyBorder="1" applyAlignment="1">
      <alignment horizontal="center"/>
    </xf>
    <xf numFmtId="43" fontId="29" fillId="4" borderId="1" xfId="1" applyFont="1" applyFill="1" applyBorder="1" applyAlignment="1">
      <alignment horizontal="center"/>
    </xf>
    <xf numFmtId="39" fontId="29" fillId="0" borderId="57" xfId="0" applyFont="1" applyFill="1" applyBorder="1" applyAlignment="1">
      <alignment horizontal="right"/>
    </xf>
    <xf numFmtId="39" fontId="29" fillId="0" borderId="5" xfId="0" applyFont="1" applyFill="1" applyBorder="1" applyAlignment="1">
      <alignment horizontal="center"/>
    </xf>
    <xf numFmtId="39" fontId="29" fillId="0" borderId="4" xfId="0" applyFont="1" applyFill="1" applyBorder="1" applyAlignment="1">
      <alignment horizontal="center"/>
    </xf>
    <xf numFmtId="43" fontId="29" fillId="4" borderId="58" xfId="1" applyFont="1" applyFill="1" applyBorder="1" applyAlignment="1">
      <alignment horizontal="center"/>
    </xf>
    <xf numFmtId="39" fontId="29" fillId="0" borderId="59" xfId="0" applyFont="1" applyFill="1" applyBorder="1" applyAlignment="1">
      <alignment horizontal="right"/>
    </xf>
    <xf numFmtId="39" fontId="29" fillId="0" borderId="65" xfId="0" applyFont="1" applyFill="1" applyBorder="1" applyAlignment="1">
      <alignment horizontal="center"/>
    </xf>
    <xf numFmtId="39" fontId="29" fillId="0" borderId="0" xfId="0" applyFont="1" applyFill="1" applyBorder="1"/>
    <xf numFmtId="39" fontId="29" fillId="0" borderId="60" xfId="0" applyFont="1" applyFill="1" applyBorder="1" applyAlignment="1">
      <alignment horizontal="right"/>
    </xf>
    <xf numFmtId="39" fontId="29" fillId="4" borderId="61" xfId="0" applyFont="1" applyFill="1" applyBorder="1"/>
    <xf numFmtId="39" fontId="29" fillId="0" borderId="73" xfId="0" applyFont="1" applyFill="1" applyBorder="1" applyAlignment="1" applyProtection="1">
      <alignment horizontal="left"/>
    </xf>
    <xf numFmtId="39" fontId="23" fillId="0" borderId="74" xfId="0" applyFont="1" applyFill="1" applyBorder="1"/>
    <xf numFmtId="39" fontId="29" fillId="0" borderId="5" xfId="0" applyFont="1" applyFill="1" applyBorder="1" applyAlignment="1" applyProtection="1">
      <alignment horizontal="left"/>
    </xf>
    <xf numFmtId="39" fontId="23" fillId="0" borderId="75" xfId="0" applyFont="1" applyFill="1" applyBorder="1"/>
    <xf numFmtId="39" fontId="23" fillId="0" borderId="56" xfId="0" applyNumberFormat="1" applyFont="1" applyFill="1" applyBorder="1" applyAlignment="1">
      <alignment horizontal="right"/>
    </xf>
    <xf numFmtId="39" fontId="29" fillId="0" borderId="76" xfId="0" applyFont="1" applyFill="1" applyBorder="1" applyAlignment="1" applyProtection="1">
      <alignment horizontal="left"/>
    </xf>
    <xf numFmtId="39" fontId="23" fillId="0" borderId="77" xfId="0" applyFont="1" applyFill="1" applyBorder="1"/>
    <xf numFmtId="39" fontId="23" fillId="0" borderId="0" xfId="0" applyNumberFormat="1" applyFont="1" applyFill="1" applyBorder="1" applyAlignment="1">
      <alignment horizontal="center"/>
    </xf>
    <xf numFmtId="39" fontId="23" fillId="0" borderId="50" xfId="8" applyNumberFormat="1" applyFont="1" applyFill="1" applyBorder="1" applyAlignment="1">
      <alignment horizontal="right"/>
    </xf>
    <xf numFmtId="39" fontId="29" fillId="0" borderId="49" xfId="0" applyFont="1" applyFill="1" applyBorder="1"/>
    <xf numFmtId="39" fontId="23" fillId="0" borderId="56" xfId="8" applyNumberFormat="1" applyFont="1" applyFill="1" applyBorder="1" applyAlignment="1">
      <alignment horizontal="right"/>
    </xf>
    <xf numFmtId="39" fontId="29" fillId="0" borderId="51" xfId="0" applyFont="1" applyFill="1" applyBorder="1"/>
    <xf numFmtId="39" fontId="23" fillId="0" borderId="50" xfId="8" applyNumberFormat="1" applyFont="1" applyFill="1" applyBorder="1"/>
    <xf numFmtId="172" fontId="23" fillId="0" borderId="74" xfId="0" applyNumberFormat="1" applyFont="1" applyFill="1" applyBorder="1" applyAlignment="1" applyProtection="1">
      <alignment horizontal="left"/>
      <protection locked="0"/>
    </xf>
    <xf numFmtId="39" fontId="23" fillId="0" borderId="56" xfId="8" applyNumberFormat="1" applyFont="1" applyFill="1" applyBorder="1"/>
    <xf numFmtId="39" fontId="51" fillId="4" borderId="56" xfId="1" applyNumberFormat="1" applyFont="1" applyFill="1" applyBorder="1"/>
    <xf numFmtId="0" fontId="23" fillId="0" borderId="20" xfId="8" applyFont="1" applyFill="1" applyBorder="1" applyAlignment="1">
      <alignment horizontal="left"/>
    </xf>
    <xf numFmtId="39" fontId="23" fillId="0" borderId="48" xfId="0" applyFont="1" applyFill="1" applyBorder="1"/>
    <xf numFmtId="39" fontId="36" fillId="0" borderId="60" xfId="8" applyNumberFormat="1" applyFont="1" applyFill="1" applyBorder="1" applyAlignment="1">
      <alignment horizontal="right"/>
    </xf>
    <xf numFmtId="39" fontId="23" fillId="0" borderId="61" xfId="0" applyFont="1" applyFill="1" applyBorder="1"/>
    <xf numFmtId="43" fontId="47" fillId="0" borderId="63" xfId="1" applyFont="1" applyFill="1" applyBorder="1" applyAlignment="1" applyProtection="1">
      <alignment horizontal="centerContinuous"/>
    </xf>
    <xf numFmtId="39" fontId="44" fillId="0" borderId="64" xfId="0" applyFont="1" applyFill="1" applyBorder="1" applyAlignment="1">
      <alignment horizontal="centerContinuous"/>
    </xf>
    <xf numFmtId="0" fontId="44" fillId="0" borderId="68" xfId="8" applyFont="1" applyFill="1" applyBorder="1" applyAlignment="1">
      <alignment horizontal="centerContinuous"/>
    </xf>
    <xf numFmtId="39" fontId="22" fillId="0" borderId="66" xfId="0" applyFont="1" applyFill="1" applyBorder="1" applyAlignment="1">
      <alignment horizontal="centerContinuous"/>
    </xf>
    <xf numFmtId="39" fontId="44" fillId="0" borderId="47" xfId="0" applyFont="1" applyFill="1" applyBorder="1" applyAlignment="1">
      <alignment horizontal="centerContinuous"/>
    </xf>
    <xf numFmtId="0" fontId="44" fillId="0" borderId="71" xfId="8" applyFont="1" applyFill="1" applyBorder="1" applyAlignment="1">
      <alignment horizontal="centerContinuous"/>
    </xf>
    <xf numFmtId="39" fontId="50" fillId="3" borderId="78" xfId="0" applyFont="1" applyFill="1" applyBorder="1" applyAlignment="1">
      <alignment horizontal="right"/>
    </xf>
    <xf numFmtId="39" fontId="23" fillId="0" borderId="79" xfId="0" quotePrefix="1" applyFont="1" applyFill="1" applyBorder="1" applyAlignment="1" applyProtection="1">
      <alignment horizontal="left"/>
    </xf>
    <xf numFmtId="39" fontId="23" fillId="0" borderId="68" xfId="0" applyFont="1" applyFill="1" applyBorder="1"/>
    <xf numFmtId="39" fontId="50" fillId="3" borderId="80" xfId="0" applyFont="1" applyFill="1" applyBorder="1" applyAlignment="1">
      <alignment horizontal="right"/>
    </xf>
    <xf numFmtId="39" fontId="23" fillId="0" borderId="13" xfId="0" quotePrefix="1" applyFont="1" applyFill="1" applyBorder="1" applyAlignment="1" applyProtection="1">
      <alignment horizontal="left"/>
    </xf>
    <xf numFmtId="39" fontId="50" fillId="3" borderId="80" xfId="1" applyNumberFormat="1" applyFont="1" applyFill="1" applyBorder="1" applyAlignment="1" applyProtection="1">
      <alignment horizontal="right"/>
    </xf>
    <xf numFmtId="39" fontId="50" fillId="3" borderId="80" xfId="1" applyNumberFormat="1" applyFont="1" applyFill="1" applyBorder="1" applyAlignment="1" applyProtection="1">
      <alignment horizontal="right"/>
      <protection locked="0"/>
    </xf>
    <xf numFmtId="0" fontId="23" fillId="0" borderId="72" xfId="8" applyFont="1" applyFill="1" applyBorder="1"/>
    <xf numFmtId="39" fontId="23" fillId="0" borderId="13" xfId="0" applyFont="1" applyFill="1" applyBorder="1" applyAlignment="1" applyProtection="1">
      <alignment horizontal="left"/>
    </xf>
    <xf numFmtId="39" fontId="50" fillId="3" borderId="62" xfId="1" applyNumberFormat="1" applyFont="1" applyFill="1" applyBorder="1" applyAlignment="1" applyProtection="1">
      <alignment horizontal="right"/>
      <protection locked="0"/>
    </xf>
    <xf numFmtId="39" fontId="23" fillId="0" borderId="81" xfId="0" quotePrefix="1" applyFont="1" applyFill="1" applyBorder="1" applyAlignment="1" applyProtection="1">
      <alignment horizontal="left"/>
    </xf>
    <xf numFmtId="0" fontId="23" fillId="0" borderId="71" xfId="8" applyFont="1" applyFill="1" applyBorder="1"/>
    <xf numFmtId="39" fontId="23" fillId="0" borderId="56" xfId="0" applyFont="1" applyFill="1" applyBorder="1" applyAlignment="1">
      <alignment horizontal="right"/>
    </xf>
    <xf numFmtId="0" fontId="23" fillId="0" borderId="48" xfId="8" applyFont="1" applyFill="1" applyBorder="1"/>
    <xf numFmtId="0" fontId="23" fillId="0" borderId="47" xfId="8" applyFont="1" applyFill="1" applyBorder="1"/>
    <xf numFmtId="0" fontId="23" fillId="0" borderId="47" xfId="8" applyFont="1" applyFill="1" applyBorder="1" applyAlignment="1">
      <alignment horizontal="right"/>
    </xf>
    <xf numFmtId="39" fontId="23" fillId="0" borderId="71" xfId="0" applyFont="1" applyFill="1" applyBorder="1"/>
    <xf numFmtId="0" fontId="27" fillId="0" borderId="0" xfId="8" applyFont="1" applyFill="1"/>
    <xf numFmtId="0" fontId="39" fillId="0" borderId="14" xfId="7" applyNumberFormat="1" applyFont="1" applyBorder="1" applyAlignment="1">
      <alignment horizontal="center"/>
    </xf>
    <xf numFmtId="39" fontId="56" fillId="0" borderId="0" xfId="0" applyFont="1" applyFill="1" applyAlignment="1">
      <alignment horizontal="left"/>
    </xf>
    <xf numFmtId="39" fontId="27" fillId="5" borderId="5" xfId="0" applyFont="1" applyFill="1" applyBorder="1" applyAlignment="1" applyProtection="1">
      <alignment horizontal="centerContinuous"/>
    </xf>
    <xf numFmtId="0" fontId="3" fillId="9" borderId="0" xfId="0" applyNumberFormat="1" applyFont="1" applyFill="1" applyAlignment="1"/>
    <xf numFmtId="0" fontId="3" fillId="9" borderId="0" xfId="0" applyNumberFormat="1" applyFont="1" applyFill="1" applyBorder="1" applyAlignment="1"/>
    <xf numFmtId="39" fontId="0" fillId="9" borderId="0" xfId="0" applyFill="1"/>
    <xf numFmtId="0" fontId="3" fillId="9" borderId="36" xfId="0" applyNumberFormat="1" applyFont="1" applyFill="1" applyBorder="1" applyAlignment="1"/>
    <xf numFmtId="0" fontId="3" fillId="9" borderId="38" xfId="0" applyNumberFormat="1" applyFont="1" applyFill="1" applyBorder="1" applyAlignment="1"/>
    <xf numFmtId="0" fontId="3" fillId="9" borderId="38" xfId="0" applyNumberFormat="1" applyFont="1" applyFill="1" applyBorder="1" applyAlignment="1" applyProtection="1">
      <protection locked="0"/>
    </xf>
    <xf numFmtId="0" fontId="3" fillId="9" borderId="0" xfId="0" applyNumberFormat="1" applyFont="1" applyFill="1" applyAlignment="1" applyProtection="1">
      <protection locked="0"/>
    </xf>
    <xf numFmtId="0" fontId="3" fillId="9" borderId="0" xfId="0" applyNumberFormat="1" applyFont="1" applyFill="1" applyBorder="1" applyAlignment="1" applyProtection="1">
      <protection locked="0"/>
    </xf>
    <xf numFmtId="0" fontId="3" fillId="9" borderId="14" xfId="0" applyNumberFormat="1" applyFont="1" applyFill="1" applyBorder="1" applyAlignment="1" applyProtection="1">
      <protection locked="0"/>
    </xf>
    <xf numFmtId="0" fontId="3" fillId="9" borderId="22" xfId="0" applyNumberFormat="1" applyFont="1" applyFill="1" applyBorder="1" applyAlignment="1" applyProtection="1">
      <protection locked="0"/>
    </xf>
    <xf numFmtId="0" fontId="3" fillId="9" borderId="35" xfId="0" applyNumberFormat="1" applyFont="1" applyFill="1" applyBorder="1" applyAlignment="1"/>
    <xf numFmtId="0" fontId="18" fillId="9" borderId="36" xfId="0" applyNumberFormat="1" applyFont="1" applyFill="1" applyBorder="1" applyAlignment="1"/>
    <xf numFmtId="0" fontId="60" fillId="9" borderId="0" xfId="0" applyNumberFormat="1" applyFont="1" applyFill="1" applyAlignment="1"/>
    <xf numFmtId="0" fontId="3" fillId="9" borderId="83" xfId="0" applyNumberFormat="1" applyFont="1" applyFill="1" applyBorder="1" applyAlignment="1"/>
    <xf numFmtId="0" fontId="3" fillId="9" borderId="14" xfId="0" applyNumberFormat="1" applyFont="1" applyFill="1" applyBorder="1" applyAlignment="1"/>
    <xf numFmtId="0" fontId="3" fillId="9" borderId="17" xfId="0" applyNumberFormat="1" applyFont="1" applyFill="1" applyBorder="1" applyAlignment="1" applyProtection="1">
      <protection locked="0"/>
    </xf>
    <xf numFmtId="0" fontId="61" fillId="9" borderId="21" xfId="0" applyNumberFormat="1" applyFont="1" applyFill="1" applyBorder="1" applyAlignment="1" applyProtection="1">
      <protection locked="0"/>
    </xf>
    <xf numFmtId="39" fontId="8" fillId="9" borderId="0" xfId="0" applyFont="1" applyFill="1"/>
    <xf numFmtId="0" fontId="3" fillId="9" borderId="8" xfId="0" applyNumberFormat="1" applyFont="1" applyFill="1" applyBorder="1" applyAlignment="1"/>
    <xf numFmtId="0" fontId="3" fillId="9" borderId="12" xfId="0" applyNumberFormat="1" applyFont="1" applyFill="1" applyBorder="1" applyAlignment="1"/>
    <xf numFmtId="0" fontId="3" fillId="9" borderId="13" xfId="0" applyNumberFormat="1" applyFont="1" applyFill="1" applyBorder="1" applyAlignment="1" applyProtection="1">
      <alignment vertical="top"/>
      <protection locked="0"/>
    </xf>
    <xf numFmtId="0" fontId="3" fillId="9" borderId="21" xfId="0" applyNumberFormat="1" applyFont="1" applyFill="1" applyBorder="1" applyAlignment="1" applyProtection="1">
      <alignment vertical="top"/>
      <protection locked="0"/>
    </xf>
    <xf numFmtId="2" fontId="3" fillId="9" borderId="0" xfId="0" applyNumberFormat="1" applyFont="1" applyFill="1" applyAlignment="1" applyProtection="1">
      <protection locked="0"/>
    </xf>
    <xf numFmtId="2" fontId="3" fillId="9" borderId="0" xfId="0" applyNumberFormat="1" applyFont="1" applyFill="1" applyAlignment="1" applyProtection="1">
      <alignment horizontal="right"/>
      <protection locked="0"/>
    </xf>
    <xf numFmtId="0" fontId="3" fillId="9" borderId="106" xfId="0" applyNumberFormat="1" applyFont="1" applyFill="1" applyBorder="1" applyAlignment="1"/>
    <xf numFmtId="0" fontId="3" fillId="9" borderId="22" xfId="0" applyNumberFormat="1" applyFont="1" applyFill="1" applyBorder="1" applyAlignment="1" applyProtection="1">
      <alignment horizontal="right"/>
      <protection locked="0"/>
    </xf>
    <xf numFmtId="39" fontId="3" fillId="9" borderId="0" xfId="0" applyNumberFormat="1" applyFont="1" applyFill="1" applyAlignment="1"/>
    <xf numFmtId="0" fontId="60" fillId="9" borderId="36" xfId="0" applyNumberFormat="1" applyFont="1" applyFill="1" applyBorder="1" applyAlignment="1"/>
    <xf numFmtId="0" fontId="18" fillId="9" borderId="0" xfId="0" applyNumberFormat="1" applyFont="1" applyFill="1" applyAlignment="1"/>
    <xf numFmtId="0" fontId="3" fillId="9" borderId="0" xfId="0" applyNumberFormat="1" applyFont="1" applyFill="1" applyAlignment="1">
      <alignment horizontal="left"/>
    </xf>
    <xf numFmtId="0" fontId="18" fillId="9" borderId="0" xfId="0" applyNumberFormat="1" applyFont="1" applyFill="1" applyBorder="1" applyAlignment="1"/>
    <xf numFmtId="0" fontId="60" fillId="9" borderId="0" xfId="0" applyNumberFormat="1" applyFont="1" applyFill="1" applyBorder="1" applyAlignment="1"/>
    <xf numFmtId="39" fontId="29" fillId="0" borderId="0" xfId="14" applyFont="1"/>
    <xf numFmtId="43" fontId="29" fillId="0" borderId="0" xfId="1" applyFont="1"/>
    <xf numFmtId="178" fontId="29" fillId="0" borderId="0" xfId="14" applyNumberFormat="1" applyFont="1" applyAlignment="1">
      <alignment horizontal="left"/>
    </xf>
    <xf numFmtId="39" fontId="39" fillId="0" borderId="12" xfId="16" applyFont="1" applyBorder="1" applyAlignment="1" applyProtection="1"/>
    <xf numFmtId="39" fontId="39" fillId="0" borderId="12" xfId="16" applyFont="1" applyBorder="1" applyAlignment="1" applyProtection="1">
      <alignment horizontal="center"/>
    </xf>
    <xf numFmtId="39" fontId="39" fillId="0" borderId="8" xfId="16" applyFont="1" applyBorder="1" applyAlignment="1" applyProtection="1">
      <alignment horizontal="center"/>
    </xf>
    <xf numFmtId="39" fontId="22" fillId="0" borderId="4" xfId="16" applyFont="1" applyBorder="1"/>
    <xf numFmtId="165" fontId="39" fillId="0" borderId="4" xfId="16" applyNumberFormat="1" applyFont="1" applyBorder="1" applyAlignment="1">
      <alignment horizontal="center"/>
    </xf>
    <xf numFmtId="39" fontId="39" fillId="0" borderId="4" xfId="16" applyFont="1" applyBorder="1" applyAlignment="1">
      <alignment horizontal="center"/>
    </xf>
    <xf numFmtId="39" fontId="39" fillId="0" borderId="4" xfId="16" applyFont="1" applyBorder="1"/>
    <xf numFmtId="39" fontId="39" fillId="0" borderId="4" xfId="11" applyFont="1" applyBorder="1" applyProtection="1"/>
    <xf numFmtId="171" fontId="39" fillId="0" borderId="4" xfId="11" quotePrefix="1" applyNumberFormat="1" applyFont="1" applyBorder="1" applyAlignment="1" applyProtection="1">
      <alignment horizontal="center"/>
    </xf>
    <xf numFmtId="39" fontId="39" fillId="0" borderId="4" xfId="11" applyNumberFormat="1" applyFont="1" applyBorder="1" applyProtection="1"/>
    <xf numFmtId="39" fontId="39" fillId="0" borderId="4" xfId="16" applyFont="1" applyBorder="1" applyProtection="1"/>
    <xf numFmtId="165" fontId="39" fillId="0" borderId="4" xfId="16" applyNumberFormat="1" applyFont="1" applyBorder="1" applyAlignment="1" applyProtection="1">
      <alignment horizontal="center"/>
    </xf>
    <xf numFmtId="39" fontId="39" fillId="0" borderId="4" xfId="16" applyFont="1" applyBorder="1" applyAlignment="1" applyProtection="1">
      <alignment horizontal="center"/>
    </xf>
    <xf numFmtId="39" fontId="39" fillId="0" borderId="4" xfId="16" applyNumberFormat="1" applyFont="1" applyBorder="1" applyProtection="1"/>
    <xf numFmtId="171" fontId="39" fillId="0" borderId="4" xfId="16" applyNumberFormat="1" applyFont="1" applyBorder="1" applyAlignment="1" applyProtection="1">
      <alignment horizontal="center"/>
    </xf>
    <xf numFmtId="165" fontId="39" fillId="0" borderId="4" xfId="16" quotePrefix="1" applyNumberFormat="1" applyFont="1" applyBorder="1" applyAlignment="1" applyProtection="1">
      <alignment horizontal="center"/>
    </xf>
    <xf numFmtId="171" fontId="39" fillId="0" borderId="4" xfId="16" quotePrefix="1" applyNumberFormat="1" applyFont="1" applyBorder="1" applyAlignment="1" applyProtection="1">
      <alignment horizontal="center"/>
    </xf>
    <xf numFmtId="39" fontId="39" fillId="0" borderId="4" xfId="16" applyFont="1" applyBorder="1" applyAlignment="1" applyProtection="1">
      <alignment horizontal="left"/>
    </xf>
    <xf numFmtId="171" fontId="39" fillId="0" borderId="4" xfId="16" applyNumberFormat="1" applyFont="1" applyBorder="1" applyAlignment="1">
      <alignment horizontal="center"/>
    </xf>
    <xf numFmtId="39" fontId="39" fillId="0" borderId="0" xfId="11" applyFont="1" applyBorder="1" applyAlignment="1" applyProtection="1">
      <alignment horizontal="center"/>
    </xf>
    <xf numFmtId="39" fontId="36" fillId="0" borderId="10" xfId="0" applyFont="1" applyFill="1" applyBorder="1"/>
    <xf numFmtId="44" fontId="46" fillId="0" borderId="0" xfId="8" applyNumberFormat="1" applyFont="1" applyFill="1" applyBorder="1" applyAlignment="1">
      <alignment horizontal="left"/>
    </xf>
    <xf numFmtId="39" fontId="51" fillId="0" borderId="0" xfId="1" applyNumberFormat="1" applyFont="1" applyFill="1" applyBorder="1"/>
    <xf numFmtId="39" fontId="23" fillId="0" borderId="22" xfId="0" applyNumberFormat="1" applyFont="1" applyFill="1" applyBorder="1" applyAlignment="1" applyProtection="1">
      <alignment horizontal="right"/>
    </xf>
    <xf numFmtId="39" fontId="23" fillId="0" borderId="22" xfId="0" applyFont="1" applyFill="1" applyBorder="1" applyAlignment="1">
      <alignment horizontal="right"/>
    </xf>
    <xf numFmtId="39" fontId="23" fillId="0" borderId="10" xfId="0" applyFont="1" applyFill="1" applyBorder="1" applyAlignment="1">
      <alignment horizontal="right"/>
    </xf>
    <xf numFmtId="0" fontId="17" fillId="9" borderId="22" xfId="2" applyNumberFormat="1" applyFill="1" applyBorder="1" applyAlignment="1" applyProtection="1">
      <protection locked="0"/>
    </xf>
    <xf numFmtId="39" fontId="23" fillId="0" borderId="0" xfId="8" applyNumberFormat="1" applyFont="1" applyFill="1"/>
    <xf numFmtId="49" fontId="39" fillId="0" borderId="10" xfId="7" applyNumberFormat="1" applyFont="1" applyBorder="1" applyAlignment="1" applyProtection="1">
      <alignment horizontal="center"/>
    </xf>
    <xf numFmtId="0" fontId="44" fillId="0" borderId="0" xfId="8" applyFont="1" applyFill="1"/>
    <xf numFmtId="0" fontId="36" fillId="0" borderId="0" xfId="8" applyFont="1" applyFill="1" applyAlignment="1">
      <alignment horizontal="right"/>
    </xf>
    <xf numFmtId="39" fontId="7" fillId="0" borderId="0" xfId="9" applyAlignment="1">
      <alignment horizontal="right"/>
    </xf>
    <xf numFmtId="39" fontId="7" fillId="0" borderId="0" xfId="9"/>
    <xf numFmtId="39" fontId="67" fillId="0" borderId="0" xfId="9" applyFont="1" applyAlignment="1">
      <alignment horizontal="right"/>
    </xf>
    <xf numFmtId="168" fontId="67" fillId="0" borderId="0" xfId="9" applyNumberFormat="1" applyFont="1" applyAlignment="1" applyProtection="1">
      <alignment horizontal="left"/>
    </xf>
    <xf numFmtId="39" fontId="67" fillId="0" borderId="0" xfId="9" quotePrefix="1" applyFont="1" applyAlignment="1" applyProtection="1">
      <alignment horizontal="right"/>
    </xf>
    <xf numFmtId="39" fontId="67" fillId="0" borderId="0" xfId="9" applyFont="1"/>
    <xf numFmtId="39" fontId="68" fillId="0" borderId="0" xfId="9" applyFont="1"/>
    <xf numFmtId="169" fontId="69" fillId="0" borderId="0" xfId="9" applyNumberFormat="1" applyFont="1" applyAlignment="1" applyProtection="1">
      <alignment horizontal="left"/>
      <protection locked="0"/>
    </xf>
    <xf numFmtId="39" fontId="7" fillId="0" borderId="0" xfId="9" applyAlignment="1" applyProtection="1">
      <alignment horizontal="left"/>
    </xf>
    <xf numFmtId="39" fontId="7" fillId="0" borderId="0" xfId="9" quotePrefix="1" applyAlignment="1" applyProtection="1">
      <alignment horizontal="left"/>
    </xf>
    <xf numFmtId="39" fontId="70" fillId="0" borderId="0" xfId="9" applyFont="1" applyAlignment="1">
      <alignment horizontal="left"/>
    </xf>
    <xf numFmtId="39" fontId="67" fillId="0" borderId="0" xfId="9" applyFont="1" applyAlignment="1" applyProtection="1">
      <alignment horizontal="left"/>
    </xf>
    <xf numFmtId="39" fontId="67" fillId="0" borderId="0" xfId="9" applyFont="1" applyAlignment="1" applyProtection="1">
      <alignment horizontal="right"/>
    </xf>
    <xf numFmtId="39" fontId="70" fillId="0" borderId="0" xfId="9" applyFont="1"/>
    <xf numFmtId="39" fontId="67" fillId="0" borderId="30" xfId="9" applyFont="1" applyBorder="1" applyAlignment="1" applyProtection="1">
      <alignment horizontal="left"/>
    </xf>
    <xf numFmtId="39" fontId="67" fillId="0" borderId="30" xfId="9" applyFont="1" applyBorder="1"/>
    <xf numFmtId="1" fontId="70" fillId="0" borderId="0" xfId="9" quotePrefix="1" applyNumberFormat="1" applyFont="1" applyAlignment="1">
      <alignment horizontal="left"/>
    </xf>
    <xf numFmtId="39" fontId="67" fillId="0" borderId="0" xfId="9" applyFont="1" applyProtection="1"/>
    <xf numFmtId="39" fontId="67" fillId="0" borderId="14" xfId="9" applyFont="1" applyBorder="1" applyAlignment="1">
      <alignment horizontal="right"/>
    </xf>
    <xf numFmtId="39" fontId="67" fillId="0" borderId="31" xfId="9" applyFont="1" applyBorder="1" applyAlignment="1" applyProtection="1"/>
    <xf numFmtId="39" fontId="67" fillId="0" borderId="31" xfId="9" applyFont="1" applyBorder="1" applyAlignment="1" applyProtection="1">
      <alignment horizontal="center"/>
    </xf>
    <xf numFmtId="39" fontId="69" fillId="0" borderId="0" xfId="9" applyFont="1" applyAlignment="1" applyProtection="1">
      <alignment horizontal="right"/>
      <protection locked="0"/>
    </xf>
    <xf numFmtId="168" fontId="7" fillId="0" borderId="0" xfId="9" applyNumberFormat="1" applyProtection="1"/>
    <xf numFmtId="39" fontId="7" fillId="0" borderId="14" xfId="9" applyFont="1" applyBorder="1"/>
    <xf numFmtId="165" fontId="70" fillId="0" borderId="14" xfId="9" applyNumberFormat="1" applyFont="1" applyBorder="1" applyAlignment="1">
      <alignment horizontal="center"/>
    </xf>
    <xf numFmtId="39" fontId="70" fillId="0" borderId="14" xfId="9" applyFont="1" applyBorder="1" applyAlignment="1">
      <alignment horizontal="center"/>
    </xf>
    <xf numFmtId="39" fontId="70" fillId="0" borderId="14" xfId="9" applyFont="1" applyBorder="1"/>
    <xf numFmtId="170" fontId="67" fillId="0" borderId="14" xfId="9" quotePrefix="1" applyNumberFormat="1" applyFont="1" applyBorder="1" applyAlignment="1" applyProtection="1">
      <alignment horizontal="right"/>
    </xf>
    <xf numFmtId="39" fontId="67" fillId="0" borderId="10" xfId="9" applyFont="1" applyBorder="1" applyAlignment="1" applyProtection="1">
      <alignment horizontal="left"/>
    </xf>
    <xf numFmtId="165" fontId="70" fillId="0" borderId="10" xfId="9" quotePrefix="1" applyNumberFormat="1" applyFont="1" applyBorder="1" applyAlignment="1" applyProtection="1">
      <alignment horizontal="center"/>
    </xf>
    <xf numFmtId="39" fontId="70" fillId="0" borderId="10" xfId="9" quotePrefix="1" applyFont="1" applyBorder="1" applyAlignment="1" applyProtection="1">
      <alignment horizontal="center"/>
    </xf>
    <xf numFmtId="39" fontId="67" fillId="0" borderId="10" xfId="9" applyFont="1" applyBorder="1" applyProtection="1"/>
    <xf numFmtId="43" fontId="70" fillId="0" borderId="10" xfId="1" applyFont="1" applyBorder="1" applyProtection="1"/>
    <xf numFmtId="7" fontId="70" fillId="0" borderId="10" xfId="9" applyNumberFormat="1" applyFont="1" applyBorder="1" applyProtection="1"/>
    <xf numFmtId="170" fontId="67" fillId="0" borderId="14" xfId="9" applyNumberFormat="1" applyFont="1" applyBorder="1" applyAlignment="1" applyProtection="1">
      <alignment horizontal="right"/>
    </xf>
    <xf numFmtId="39" fontId="67" fillId="0" borderId="17" xfId="9" applyFont="1" applyBorder="1" applyProtection="1"/>
    <xf numFmtId="7" fontId="70" fillId="0" borderId="17" xfId="9" applyNumberFormat="1" applyFont="1" applyBorder="1" applyProtection="1"/>
    <xf numFmtId="43" fontId="70" fillId="0" borderId="17" xfId="1" applyFont="1" applyBorder="1" applyProtection="1"/>
    <xf numFmtId="165" fontId="70" fillId="0" borderId="17" xfId="9" applyNumberFormat="1" applyFont="1" applyBorder="1" applyAlignment="1" applyProtection="1">
      <alignment horizontal="center"/>
    </xf>
    <xf numFmtId="39" fontId="70" fillId="0" borderId="17" xfId="9" applyFont="1" applyBorder="1" applyAlignment="1" applyProtection="1">
      <alignment horizontal="center"/>
    </xf>
    <xf numFmtId="39" fontId="70" fillId="0" borderId="17" xfId="9" applyNumberFormat="1" applyFont="1" applyBorder="1" applyProtection="1"/>
    <xf numFmtId="170" fontId="67" fillId="0" borderId="14" xfId="9" quotePrefix="1" applyNumberFormat="1" applyFont="1" applyBorder="1" applyAlignment="1" applyProtection="1">
      <alignment horizontal="left"/>
    </xf>
    <xf numFmtId="39" fontId="71" fillId="0" borderId="0" xfId="9" applyFont="1" applyAlignment="1" applyProtection="1">
      <alignment horizontal="left"/>
      <protection locked="0"/>
    </xf>
    <xf numFmtId="39" fontId="69" fillId="0" borderId="0" xfId="9" applyFont="1" applyAlignment="1" applyProtection="1">
      <alignment horizontal="left"/>
      <protection locked="0"/>
    </xf>
    <xf numFmtId="169" fontId="71" fillId="0" borderId="0" xfId="9" applyNumberFormat="1" applyFont="1" applyAlignment="1" applyProtection="1">
      <alignment horizontal="fill"/>
      <protection locked="0"/>
    </xf>
    <xf numFmtId="171" fontId="70" fillId="0" borderId="17" xfId="9" applyNumberFormat="1" applyFont="1" applyBorder="1" applyAlignment="1" applyProtection="1">
      <alignment horizontal="center"/>
    </xf>
    <xf numFmtId="165" fontId="70" fillId="0" borderId="17" xfId="9" quotePrefix="1" applyNumberFormat="1" applyFont="1" applyBorder="1" applyAlignment="1" applyProtection="1">
      <alignment horizontal="center"/>
    </xf>
    <xf numFmtId="171" fontId="70" fillId="0" borderId="17" xfId="9" quotePrefix="1" applyNumberFormat="1" applyFont="1" applyBorder="1" applyAlignment="1" applyProtection="1">
      <alignment horizontal="center"/>
    </xf>
    <xf numFmtId="37" fontId="68" fillId="0" borderId="0" xfId="9" applyNumberFormat="1" applyFont="1" applyProtection="1"/>
    <xf numFmtId="169" fontId="7" fillId="0" borderId="0" xfId="9" applyNumberFormat="1" applyAlignment="1" applyProtection="1">
      <alignment horizontal="left"/>
    </xf>
    <xf numFmtId="169" fontId="7" fillId="0" borderId="0" xfId="9" applyNumberFormat="1" applyAlignment="1" applyProtection="1">
      <alignment horizontal="right"/>
    </xf>
    <xf numFmtId="39" fontId="7" fillId="0" borderId="0" xfId="9" applyNumberFormat="1" applyProtection="1"/>
    <xf numFmtId="39" fontId="7" fillId="0" borderId="0" xfId="9" applyProtection="1"/>
    <xf numFmtId="39" fontId="7" fillId="0" borderId="17" xfId="9" applyBorder="1"/>
    <xf numFmtId="39" fontId="72" fillId="0" borderId="17" xfId="9" applyFont="1" applyBorder="1"/>
    <xf numFmtId="169" fontId="7" fillId="0" borderId="0" xfId="9" applyNumberFormat="1" applyProtection="1"/>
    <xf numFmtId="39" fontId="67" fillId="0" borderId="17" xfId="9" applyFont="1" applyBorder="1" applyAlignment="1" applyProtection="1">
      <alignment horizontal="left"/>
    </xf>
    <xf numFmtId="39" fontId="7" fillId="0" borderId="0" xfId="9" applyNumberFormat="1" applyAlignment="1" applyProtection="1">
      <alignment horizontal="left"/>
    </xf>
    <xf numFmtId="39" fontId="67" fillId="0" borderId="14" xfId="9" applyFont="1" applyBorder="1" applyAlignment="1" applyProtection="1">
      <alignment horizontal="right"/>
    </xf>
    <xf numFmtId="165" fontId="70" fillId="0" borderId="17" xfId="9" applyNumberFormat="1" applyFont="1" applyBorder="1" applyAlignment="1">
      <alignment horizontal="center"/>
    </xf>
    <xf numFmtId="171" fontId="70" fillId="0" borderId="17" xfId="9" applyNumberFormat="1" applyFont="1" applyBorder="1" applyAlignment="1">
      <alignment horizontal="center"/>
    </xf>
    <xf numFmtId="39" fontId="67" fillId="0" borderId="17" xfId="9" applyFont="1" applyBorder="1"/>
    <xf numFmtId="39" fontId="70" fillId="0" borderId="17" xfId="9" applyFont="1" applyBorder="1"/>
    <xf numFmtId="43" fontId="67" fillId="0" borderId="29" xfId="1" applyFont="1" applyBorder="1" applyProtection="1"/>
    <xf numFmtId="170" fontId="7" fillId="0" borderId="0" xfId="9" applyNumberFormat="1" applyProtection="1"/>
    <xf numFmtId="39" fontId="70" fillId="0" borderId="0" xfId="9" quotePrefix="1" applyFont="1" applyAlignment="1" applyProtection="1">
      <alignment horizontal="left"/>
    </xf>
    <xf numFmtId="43" fontId="67" fillId="0" borderId="0" xfId="1" quotePrefix="1" applyFont="1" applyAlignment="1" applyProtection="1">
      <alignment horizontal="right"/>
    </xf>
    <xf numFmtId="39" fontId="67" fillId="0" borderId="0" xfId="9" quotePrefix="1" applyFont="1" applyAlignment="1">
      <alignment horizontal="left"/>
    </xf>
    <xf numFmtId="39" fontId="73" fillId="0" borderId="0" xfId="9" applyFont="1"/>
    <xf numFmtId="39" fontId="67" fillId="0" borderId="0" xfId="9" quotePrefix="1" applyFont="1" applyAlignment="1" applyProtection="1">
      <alignment horizontal="left"/>
    </xf>
    <xf numFmtId="39" fontId="67" fillId="0" borderId="0" xfId="9" quotePrefix="1" applyFont="1"/>
    <xf numFmtId="39" fontId="69" fillId="0" borderId="0" xfId="9" applyFont="1" applyProtection="1">
      <protection locked="0"/>
    </xf>
    <xf numFmtId="39" fontId="68" fillId="0" borderId="0" xfId="9" applyFont="1" applyAlignment="1">
      <alignment horizontal="right"/>
    </xf>
    <xf numFmtId="39" fontId="8" fillId="0" borderId="0" xfId="9" applyFont="1" applyAlignment="1">
      <alignment horizontal="right"/>
    </xf>
    <xf numFmtId="39" fontId="8" fillId="0" borderId="0" xfId="9" applyFont="1"/>
    <xf numFmtId="170" fontId="7" fillId="0" borderId="0" xfId="9" applyNumberFormat="1" applyAlignment="1" applyProtection="1">
      <alignment horizontal="left"/>
    </xf>
    <xf numFmtId="39" fontId="76" fillId="0" borderId="0" xfId="9" applyFont="1" applyFill="1" applyAlignment="1">
      <alignment horizontal="right"/>
    </xf>
    <xf numFmtId="39" fontId="77" fillId="0" borderId="0" xfId="9" applyFont="1" applyFill="1"/>
    <xf numFmtId="39" fontId="6" fillId="10" borderId="0" xfId="0" applyNumberFormat="1" applyFont="1" applyFill="1" applyAlignment="1">
      <alignment horizontal="right"/>
    </xf>
    <xf numFmtId="39" fontId="74" fillId="10" borderId="0" xfId="0" applyNumberFormat="1" applyFont="1" applyFill="1"/>
    <xf numFmtId="39" fontId="6" fillId="10" borderId="0" xfId="0" applyNumberFormat="1" applyFont="1" applyFill="1"/>
    <xf numFmtId="39" fontId="6" fillId="10" borderId="0" xfId="0" applyNumberFormat="1" applyFont="1" applyFill="1" applyAlignment="1">
      <alignment horizontal="left"/>
    </xf>
    <xf numFmtId="0" fontId="57" fillId="11" borderId="35" xfId="0" applyNumberFormat="1" applyFont="1" applyFill="1" applyBorder="1" applyAlignment="1"/>
    <xf numFmtId="0" fontId="3" fillId="12" borderId="36" xfId="0" applyNumberFormat="1" applyFont="1" applyFill="1" applyBorder="1" applyAlignment="1"/>
    <xf numFmtId="0" fontId="3" fillId="12" borderId="83" xfId="0" applyNumberFormat="1" applyFont="1" applyFill="1" applyBorder="1" applyAlignment="1"/>
    <xf numFmtId="0" fontId="3" fillId="12" borderId="38" xfId="0" applyNumberFormat="1" applyFont="1" applyFill="1" applyBorder="1" applyAlignment="1"/>
    <xf numFmtId="0" fontId="3" fillId="12" borderId="0" xfId="0" applyNumberFormat="1" applyFont="1" applyFill="1" applyAlignment="1"/>
    <xf numFmtId="0" fontId="3" fillId="12" borderId="14" xfId="0" applyNumberFormat="1" applyFont="1" applyFill="1" applyBorder="1" applyAlignment="1"/>
    <xf numFmtId="0" fontId="3" fillId="12" borderId="17" xfId="0" applyNumberFormat="1" applyFont="1" applyFill="1" applyBorder="1" applyAlignment="1"/>
    <xf numFmtId="39" fontId="44" fillId="13" borderId="0" xfId="16" applyFont="1" applyFill="1"/>
    <xf numFmtId="39" fontId="39" fillId="13" borderId="0" xfId="16" applyFont="1" applyFill="1"/>
    <xf numFmtId="39" fontId="22" fillId="13" borderId="0" xfId="16" applyFont="1" applyFill="1"/>
    <xf numFmtId="39" fontId="44" fillId="13" borderId="22" xfId="16" applyFont="1" applyFill="1" applyBorder="1"/>
    <xf numFmtId="39" fontId="39" fillId="13" borderId="22" xfId="16" applyFont="1" applyFill="1" applyBorder="1"/>
    <xf numFmtId="39" fontId="22" fillId="13" borderId="22" xfId="16" applyFont="1" applyFill="1" applyBorder="1"/>
    <xf numFmtId="39" fontId="44" fillId="13" borderId="0" xfId="16" applyFont="1" applyFill="1" applyBorder="1"/>
    <xf numFmtId="39" fontId="39" fillId="13" borderId="0" xfId="16" applyFont="1" applyFill="1" applyBorder="1"/>
    <xf numFmtId="39" fontId="22" fillId="13" borderId="0" xfId="16" applyFont="1" applyFill="1" applyBorder="1"/>
    <xf numFmtId="0" fontId="34" fillId="0" borderId="0" xfId="6" applyFont="1" applyAlignment="1">
      <alignment horizontal="center"/>
    </xf>
    <xf numFmtId="4" fontId="34" fillId="0" borderId="0" xfId="6" applyNumberFormat="1" applyFont="1" applyAlignment="1">
      <alignment horizontal="center"/>
    </xf>
    <xf numFmtId="39" fontId="23" fillId="0" borderId="0" xfId="0" applyFont="1" applyBorder="1" applyAlignment="1" applyProtection="1">
      <alignment horizontal="right"/>
      <protection locked="0"/>
    </xf>
    <xf numFmtId="39" fontId="29" fillId="0" borderId="0" xfId="0" quotePrefix="1" applyFont="1" applyBorder="1" applyAlignment="1">
      <alignment horizontal="left"/>
    </xf>
    <xf numFmtId="39" fontId="22" fillId="0" borderId="0" xfId="0" quotePrefix="1" applyFont="1" applyBorder="1" applyAlignment="1">
      <alignment horizontal="left"/>
    </xf>
    <xf numFmtId="39" fontId="29" fillId="0" borderId="0" xfId="0" applyFont="1" applyBorder="1" applyAlignment="1">
      <alignment horizontal="right"/>
    </xf>
    <xf numFmtId="0" fontId="29" fillId="0" borderId="0" xfId="6" applyFont="1"/>
    <xf numFmtId="0" fontId="29" fillId="0" borderId="0" xfId="6" applyFont="1" applyAlignment="1">
      <alignment horizontal="center"/>
    </xf>
    <xf numFmtId="164" fontId="29" fillId="0" borderId="0" xfId="6" applyNumberFormat="1" applyFont="1"/>
    <xf numFmtId="4" fontId="29" fillId="0" borderId="0" xfId="6" applyNumberFormat="1" applyFont="1" applyAlignment="1">
      <alignment horizontal="center"/>
    </xf>
    <xf numFmtId="39" fontId="29" fillId="0" borderId="0" xfId="6" applyNumberFormat="1" applyFont="1" applyAlignment="1">
      <alignment horizontal="center"/>
    </xf>
    <xf numFmtId="39" fontId="80" fillId="0" borderId="0" xfId="0" applyFont="1"/>
    <xf numFmtId="39" fontId="29" fillId="0" borderId="0" xfId="0" applyFont="1" applyBorder="1"/>
    <xf numFmtId="39" fontId="29" fillId="0" borderId="0" xfId="0" applyFont="1"/>
    <xf numFmtId="39" fontId="29" fillId="0" borderId="0" xfId="0" applyFont="1" applyBorder="1" applyProtection="1"/>
    <xf numFmtId="0" fontId="29" fillId="0" borderId="0" xfId="6" applyFont="1" applyAlignment="1">
      <alignment horizontal="right"/>
    </xf>
    <xf numFmtId="39" fontId="81" fillId="0" borderId="0" xfId="0" quotePrefix="1" applyFont="1" applyAlignment="1" applyProtection="1">
      <alignment horizontal="right"/>
    </xf>
    <xf numFmtId="39" fontId="81" fillId="0" borderId="0" xfId="0" applyFont="1" applyAlignment="1">
      <alignment horizontal="right"/>
    </xf>
    <xf numFmtId="39" fontId="81" fillId="0" borderId="0" xfId="0" applyFont="1"/>
    <xf numFmtId="167" fontId="81" fillId="0" borderId="0" xfId="0" applyNumberFormat="1" applyFont="1" applyAlignment="1">
      <alignment horizontal="left"/>
    </xf>
    <xf numFmtId="39" fontId="27" fillId="0" borderId="50" xfId="0" applyFont="1" applyFill="1" applyBorder="1" applyAlignment="1">
      <alignment horizontal="centerContinuous"/>
    </xf>
    <xf numFmtId="39" fontId="36" fillId="0" borderId="49" xfId="0" applyFont="1" applyFill="1" applyBorder="1" applyAlignment="1">
      <alignment horizontal="centerContinuous"/>
    </xf>
    <xf numFmtId="39" fontId="27" fillId="6" borderId="59" xfId="0" applyFont="1" applyFill="1" applyBorder="1" applyAlignment="1">
      <alignment horizontal="centerContinuous"/>
    </xf>
    <xf numFmtId="39" fontId="36" fillId="6" borderId="51" xfId="0" applyFont="1" applyFill="1" applyBorder="1" applyAlignment="1">
      <alignment horizontal="centerContinuous"/>
    </xf>
    <xf numFmtId="39" fontId="23" fillId="0" borderId="70" xfId="0" applyFont="1" applyFill="1" applyBorder="1" applyAlignment="1">
      <alignment horizontal="right"/>
    </xf>
    <xf numFmtId="39" fontId="36" fillId="0" borderId="72" xfId="0" applyFont="1" applyFill="1" applyBorder="1"/>
    <xf numFmtId="39" fontId="23" fillId="0" borderId="66" xfId="0" applyFont="1" applyFill="1" applyBorder="1" applyAlignment="1">
      <alignment horizontal="right"/>
    </xf>
    <xf numFmtId="39" fontId="36" fillId="0" borderId="71" xfId="0" applyFont="1" applyFill="1" applyBorder="1" applyAlignment="1">
      <alignment horizontal="left"/>
    </xf>
    <xf numFmtId="39" fontId="79" fillId="0" borderId="0" xfId="0" applyFont="1" applyFill="1" applyAlignment="1">
      <alignment horizontal="left"/>
    </xf>
    <xf numFmtId="39" fontId="27" fillId="16" borderId="57" xfId="0" applyFont="1" applyFill="1" applyBorder="1" applyAlignment="1">
      <alignment horizontal="centerContinuous"/>
    </xf>
    <xf numFmtId="39" fontId="36" fillId="16" borderId="58" xfId="0" applyFont="1" applyFill="1" applyBorder="1" applyAlignment="1">
      <alignment horizontal="centerContinuous"/>
    </xf>
    <xf numFmtId="0" fontId="27" fillId="0" borderId="4" xfId="8" applyFont="1" applyFill="1" applyBorder="1" applyAlignment="1">
      <alignment horizontal="right"/>
    </xf>
    <xf numFmtId="0" fontId="27" fillId="0" borderId="4" xfId="8" quotePrefix="1" applyFont="1" applyFill="1" applyBorder="1" applyAlignment="1">
      <alignment horizontal="right"/>
    </xf>
    <xf numFmtId="39" fontId="27" fillId="0" borderId="4" xfId="0" quotePrefix="1" applyFont="1" applyFill="1" applyBorder="1" applyAlignment="1">
      <alignment horizontal="right"/>
    </xf>
    <xf numFmtId="0" fontId="46" fillId="0" borderId="4" xfId="8" applyFont="1" applyFill="1" applyBorder="1" applyAlignment="1">
      <alignment horizontal="right"/>
    </xf>
    <xf numFmtId="39" fontId="27" fillId="16" borderId="4" xfId="0" quotePrefix="1" applyFont="1" applyFill="1" applyBorder="1" applyAlignment="1" applyProtection="1">
      <alignment horizontal="center"/>
      <protection locked="0"/>
    </xf>
    <xf numFmtId="39" fontId="27" fillId="16" borderId="4" xfId="0" applyFont="1" applyFill="1" applyBorder="1" applyAlignment="1" applyProtection="1">
      <alignment horizontal="center"/>
      <protection locked="0"/>
    </xf>
    <xf numFmtId="167" fontId="36" fillId="16" borderId="4" xfId="8" quotePrefix="1" applyNumberFormat="1" applyFont="1" applyFill="1" applyBorder="1" applyAlignment="1">
      <alignment horizontal="right"/>
    </xf>
    <xf numFmtId="39" fontId="36" fillId="16" borderId="4" xfId="1" applyNumberFormat="1" applyFont="1" applyFill="1" applyBorder="1" applyAlignment="1">
      <alignment horizontal="right"/>
    </xf>
    <xf numFmtId="44" fontId="27" fillId="0" borderId="4" xfId="8" applyNumberFormat="1" applyFont="1" applyFill="1" applyBorder="1" applyAlignment="1">
      <alignment horizontal="right"/>
    </xf>
    <xf numFmtId="39" fontId="27" fillId="0" borderId="4" xfId="0" applyFont="1" applyBorder="1" applyAlignment="1">
      <alignment horizontal="right"/>
    </xf>
    <xf numFmtId="39" fontId="36" fillId="16" borderId="4" xfId="0" applyFont="1" applyFill="1" applyBorder="1" applyProtection="1"/>
    <xf numFmtId="39" fontId="27" fillId="0" borderId="4" xfId="0" applyFont="1" applyFill="1" applyBorder="1" applyAlignment="1" applyProtection="1">
      <alignment horizontal="right"/>
    </xf>
    <xf numFmtId="39" fontId="36" fillId="0" borderId="4" xfId="0" applyFont="1" applyFill="1" applyBorder="1" applyProtection="1"/>
    <xf numFmtId="39" fontId="36" fillId="6" borderId="4" xfId="0" applyFont="1" applyFill="1" applyBorder="1" applyAlignment="1">
      <alignment horizontal="center"/>
    </xf>
    <xf numFmtId="39" fontId="27" fillId="0" borderId="4" xfId="0" applyFont="1" applyFill="1" applyBorder="1" applyAlignment="1">
      <alignment horizontal="right"/>
    </xf>
    <xf numFmtId="39" fontId="36" fillId="16" borderId="4" xfId="0" applyFont="1" applyFill="1" applyBorder="1"/>
    <xf numFmtId="39" fontId="48" fillId="0" borderId="4" xfId="0" applyFont="1" applyFill="1" applyBorder="1" applyAlignment="1" applyProtection="1">
      <alignment horizontal="right"/>
    </xf>
    <xf numFmtId="39" fontId="36" fillId="0" borderId="4" xfId="8" applyNumberFormat="1" applyFont="1" applyFill="1" applyBorder="1" applyAlignment="1">
      <alignment horizontal="right"/>
    </xf>
    <xf numFmtId="39" fontId="27" fillId="0" borderId="4" xfId="0" applyNumberFormat="1" applyFont="1" applyFill="1" applyBorder="1" applyAlignment="1" applyProtection="1">
      <alignment horizontal="left"/>
    </xf>
    <xf numFmtId="39" fontId="51" fillId="6" borderId="4" xfId="1" applyNumberFormat="1" applyFont="1" applyFill="1" applyBorder="1"/>
    <xf numFmtId="0" fontId="36" fillId="0" borderId="4" xfId="8" applyFont="1" applyFill="1" applyBorder="1" applyAlignment="1">
      <alignment horizontal="right"/>
    </xf>
    <xf numFmtId="39" fontId="36" fillId="16" borderId="4" xfId="1" quotePrefix="1" applyNumberFormat="1" applyFont="1" applyFill="1" applyBorder="1" applyAlignment="1">
      <alignment horizontal="right"/>
    </xf>
    <xf numFmtId="39" fontId="36" fillId="16" borderId="4" xfId="8" applyNumberFormat="1" applyFont="1" applyFill="1" applyBorder="1"/>
    <xf numFmtId="39" fontId="36" fillId="16" borderId="58" xfId="1" applyNumberFormat="1" applyFont="1" applyFill="1" applyBorder="1" applyAlignment="1">
      <alignment horizontal="right"/>
    </xf>
    <xf numFmtId="39" fontId="36" fillId="16" borderId="51" xfId="1" applyNumberFormat="1" applyFont="1" applyFill="1" applyBorder="1" applyAlignment="1">
      <alignment horizontal="right"/>
    </xf>
    <xf numFmtId="39" fontId="36" fillId="16" borderId="58" xfId="1" applyNumberFormat="1" applyFont="1" applyFill="1" applyBorder="1"/>
    <xf numFmtId="39" fontId="36" fillId="16" borderId="51" xfId="1" applyNumberFormat="1" applyFont="1" applyFill="1" applyBorder="1"/>
    <xf numFmtId="39" fontId="36" fillId="16" borderId="4" xfId="0" quotePrefix="1" applyFont="1" applyFill="1" applyBorder="1"/>
    <xf numFmtId="39" fontId="27" fillId="15" borderId="4" xfId="0" applyNumberFormat="1" applyFont="1" applyFill="1" applyBorder="1" applyAlignment="1" applyProtection="1">
      <alignment horizontal="centerContinuous"/>
    </xf>
    <xf numFmtId="176" fontId="46" fillId="0" borderId="4" xfId="8" applyNumberFormat="1" applyFont="1" applyFill="1" applyBorder="1" applyAlignment="1">
      <alignment horizontal="right"/>
    </xf>
    <xf numFmtId="39" fontId="36" fillId="16" borderId="4" xfId="0" applyNumberFormat="1" applyFont="1" applyFill="1" applyBorder="1"/>
    <xf numFmtId="39" fontId="48" fillId="0" borderId="4" xfId="0" applyFont="1" applyFill="1" applyBorder="1" applyAlignment="1">
      <alignment horizontal="right"/>
    </xf>
    <xf numFmtId="39" fontId="23" fillId="0" borderId="4" xfId="0" applyFont="1" applyFill="1" applyBorder="1"/>
    <xf numFmtId="39" fontId="36" fillId="0" borderId="4" xfId="0" applyFont="1" applyFill="1" applyBorder="1" applyAlignment="1">
      <alignment horizontal="right"/>
    </xf>
    <xf numFmtId="177" fontId="46" fillId="0" borderId="4" xfId="8" applyNumberFormat="1" applyFont="1" applyFill="1" applyBorder="1" applyAlignment="1">
      <alignment horizontal="right"/>
    </xf>
    <xf numFmtId="39" fontId="36" fillId="6" borderId="4" xfId="0" applyFont="1" applyFill="1" applyBorder="1"/>
    <xf numFmtId="39" fontId="36" fillId="15" borderId="4" xfId="0" applyFont="1" applyFill="1" applyBorder="1" applyAlignment="1">
      <alignment horizontal="centerContinuous"/>
    </xf>
    <xf numFmtId="44" fontId="46" fillId="0" borderId="4" xfId="8" applyNumberFormat="1" applyFont="1" applyFill="1" applyBorder="1" applyAlignment="1">
      <alignment horizontal="left"/>
    </xf>
    <xf numFmtId="39" fontId="44" fillId="0" borderId="4" xfId="0" applyFont="1" applyFill="1" applyBorder="1"/>
    <xf numFmtId="39" fontId="36" fillId="16" borderId="4" xfId="1" applyNumberFormat="1" applyFont="1" applyFill="1" applyBorder="1"/>
    <xf numFmtId="39" fontId="27" fillId="15" borderId="4" xfId="0" applyFont="1" applyFill="1" applyBorder="1" applyAlignment="1" applyProtection="1">
      <alignment horizontal="centerContinuous"/>
    </xf>
    <xf numFmtId="39" fontId="48" fillId="0" borderId="4" xfId="0" applyNumberFormat="1" applyFont="1" applyFill="1" applyBorder="1" applyAlignment="1" applyProtection="1">
      <alignment horizontal="left"/>
    </xf>
    <xf numFmtId="39" fontId="36" fillId="8" borderId="4" xfId="1" applyNumberFormat="1" applyFont="1" applyFill="1" applyBorder="1" applyAlignment="1">
      <alignment horizontal="right"/>
    </xf>
    <xf numFmtId="39" fontId="36" fillId="16" borderId="4" xfId="1" applyNumberFormat="1" applyFont="1" applyFill="1" applyBorder="1" applyAlignment="1">
      <alignment horizontal="center"/>
    </xf>
    <xf numFmtId="49" fontId="36" fillId="16" borderId="4" xfId="1" applyNumberFormat="1" applyFont="1" applyFill="1" applyBorder="1" applyAlignment="1">
      <alignment horizontal="center"/>
    </xf>
    <xf numFmtId="39" fontId="36" fillId="16" borderId="4" xfId="0" applyFont="1" applyFill="1" applyBorder="1" applyAlignment="1">
      <alignment horizontal="center"/>
    </xf>
    <xf numFmtId="39" fontId="48" fillId="0" borderId="5" xfId="0" applyNumberFormat="1" applyFont="1" applyFill="1" applyBorder="1" applyAlignment="1" applyProtection="1">
      <alignment horizontal="left"/>
    </xf>
    <xf numFmtId="39" fontId="23" fillId="0" borderId="9" xfId="0" applyNumberFormat="1" applyFont="1" applyFill="1" applyBorder="1" applyAlignment="1" applyProtection="1">
      <alignment horizontal="right"/>
    </xf>
    <xf numFmtId="39" fontId="48" fillId="0" borderId="21" xfId="0" applyNumberFormat="1" applyFont="1" applyFill="1" applyBorder="1" applyAlignment="1" applyProtection="1">
      <alignment horizontal="left"/>
    </xf>
    <xf numFmtId="39" fontId="23" fillId="0" borderId="21" xfId="0" applyFont="1" applyBorder="1" applyAlignment="1">
      <alignment horizontal="right"/>
    </xf>
    <xf numFmtId="39" fontId="36" fillId="0" borderId="21" xfId="0" applyFont="1" applyFill="1" applyBorder="1" applyAlignment="1">
      <alignment horizontal="right"/>
    </xf>
    <xf numFmtId="39" fontId="36" fillId="0" borderId="13" xfId="0" applyFont="1" applyFill="1" applyBorder="1" applyAlignment="1">
      <alignment horizontal="right"/>
    </xf>
    <xf numFmtId="39" fontId="36" fillId="16" borderId="2" xfId="0" applyFont="1" applyFill="1" applyBorder="1" applyAlignment="1">
      <alignment horizontal="center"/>
    </xf>
    <xf numFmtId="39" fontId="23" fillId="0" borderId="5" xfId="0" applyFont="1" applyFill="1" applyBorder="1"/>
    <xf numFmtId="49" fontId="36" fillId="16" borderId="2" xfId="0" applyNumberFormat="1" applyFont="1" applyFill="1" applyBorder="1" applyAlignment="1">
      <alignment horizontal="center"/>
    </xf>
    <xf numFmtId="49" fontId="36" fillId="0" borderId="2" xfId="0" applyNumberFormat="1" applyFont="1" applyFill="1" applyBorder="1" applyAlignment="1">
      <alignment horizontal="center"/>
    </xf>
    <xf numFmtId="39" fontId="23" fillId="0" borderId="10" xfId="0" applyFont="1" applyFill="1" applyBorder="1"/>
    <xf numFmtId="39" fontId="23" fillId="0" borderId="13" xfId="0" applyFont="1" applyFill="1" applyBorder="1"/>
    <xf numFmtId="39" fontId="27" fillId="0" borderId="13" xfId="0" applyFont="1" applyFill="1" applyBorder="1" applyAlignment="1">
      <alignment horizontal="right"/>
    </xf>
    <xf numFmtId="39" fontId="29" fillId="0" borderId="12" xfId="0" applyFont="1" applyFill="1" applyBorder="1" applyAlignment="1">
      <alignment horizontal="right"/>
    </xf>
    <xf numFmtId="39" fontId="29" fillId="0" borderId="14" xfId="0" applyFont="1" applyFill="1" applyBorder="1" applyAlignment="1">
      <alignment horizontal="right"/>
    </xf>
    <xf numFmtId="0" fontId="29" fillId="0" borderId="14" xfId="8" applyFont="1" applyFill="1" applyBorder="1" applyAlignment="1">
      <alignment horizontal="right"/>
    </xf>
    <xf numFmtId="39" fontId="23" fillId="0" borderId="21" xfId="0" applyFont="1" applyFill="1" applyBorder="1"/>
    <xf numFmtId="39" fontId="29" fillId="0" borderId="17" xfId="0" applyFont="1" applyFill="1" applyBorder="1" applyAlignment="1">
      <alignment horizontal="right"/>
    </xf>
    <xf numFmtId="39" fontId="29" fillId="16" borderId="4" xfId="0" quotePrefix="1" applyFont="1" applyFill="1" applyBorder="1"/>
    <xf numFmtId="39" fontId="29" fillId="16" borderId="4" xfId="0" applyFont="1" applyFill="1" applyBorder="1"/>
    <xf numFmtId="0" fontId="29" fillId="16" borderId="4" xfId="8" applyFont="1" applyFill="1" applyBorder="1"/>
    <xf numFmtId="39" fontId="29" fillId="16" borderId="1" xfId="0" quotePrefix="1" applyFont="1" applyFill="1" applyBorder="1"/>
    <xf numFmtId="0" fontId="78" fillId="0" borderId="0" xfId="8" applyFont="1" applyFill="1" applyAlignment="1">
      <alignment horizontal="left"/>
    </xf>
    <xf numFmtId="44" fontId="46" fillId="0" borderId="5" xfId="8" applyNumberFormat="1" applyFont="1" applyFill="1" applyBorder="1" applyAlignment="1">
      <alignment horizontal="left"/>
    </xf>
    <xf numFmtId="39" fontId="44" fillId="0" borderId="10" xfId="0" applyFont="1" applyFill="1" applyBorder="1"/>
    <xf numFmtId="39" fontId="0" fillId="0" borderId="0" xfId="0" applyFill="1"/>
    <xf numFmtId="39" fontId="27" fillId="15" borderId="50" xfId="0" applyNumberFormat="1" applyFont="1" applyFill="1" applyBorder="1" applyAlignment="1" applyProtection="1">
      <alignment horizontal="centerContinuous"/>
    </xf>
    <xf numFmtId="39" fontId="36" fillId="15" borderId="16" xfId="0" applyFont="1" applyFill="1" applyBorder="1" applyAlignment="1">
      <alignment horizontal="centerContinuous"/>
    </xf>
    <xf numFmtId="39" fontId="36" fillId="15" borderId="49" xfId="0" applyFont="1" applyFill="1" applyBorder="1" applyAlignment="1">
      <alignment horizontal="centerContinuous"/>
    </xf>
    <xf numFmtId="44" fontId="46" fillId="0" borderId="57" xfId="8" applyNumberFormat="1" applyFont="1" applyFill="1" applyBorder="1" applyAlignment="1">
      <alignment horizontal="left"/>
    </xf>
    <xf numFmtId="44" fontId="46" fillId="0" borderId="59" xfId="8" applyNumberFormat="1" applyFont="1" applyFill="1" applyBorder="1" applyAlignment="1">
      <alignment horizontal="left"/>
    </xf>
    <xf numFmtId="39" fontId="46" fillId="15" borderId="50" xfId="0" applyNumberFormat="1" applyFont="1" applyFill="1" applyBorder="1" applyAlignment="1" applyProtection="1">
      <alignment horizontal="centerContinuous"/>
    </xf>
    <xf numFmtId="0" fontId="36" fillId="15" borderId="49" xfId="8" applyFont="1" applyFill="1" applyBorder="1" applyAlignment="1">
      <alignment horizontal="centerContinuous"/>
    </xf>
    <xf numFmtId="164" fontId="23" fillId="16" borderId="4" xfId="17" applyNumberFormat="1" applyFont="1" applyFill="1" applyBorder="1"/>
    <xf numFmtId="43" fontId="23" fillId="16" borderId="4" xfId="1" applyFont="1" applyFill="1" applyBorder="1"/>
    <xf numFmtId="0" fontId="39" fillId="15" borderId="2" xfId="10" applyFont="1" applyFill="1" applyBorder="1" applyAlignment="1">
      <alignment horizontal="centerContinuous"/>
    </xf>
    <xf numFmtId="0" fontId="22" fillId="15" borderId="2" xfId="10" applyFont="1" applyFill="1" applyBorder="1" applyAlignment="1">
      <alignment horizontal="centerContinuous"/>
    </xf>
    <xf numFmtId="0" fontId="39" fillId="15" borderId="2" xfId="10" applyFont="1" applyFill="1" applyBorder="1" applyAlignment="1">
      <alignment horizontal="center"/>
    </xf>
    <xf numFmtId="0" fontId="39" fillId="15" borderId="21" xfId="10" applyFont="1" applyFill="1" applyBorder="1" applyAlignment="1">
      <alignment horizontal="center"/>
    </xf>
    <xf numFmtId="0" fontId="39" fillId="15" borderId="17" xfId="10" applyFont="1" applyFill="1" applyBorder="1" applyAlignment="1">
      <alignment horizontal="center"/>
    </xf>
    <xf numFmtId="0" fontId="39" fillId="15" borderId="1" xfId="10" applyFont="1" applyFill="1" applyBorder="1" applyAlignment="1">
      <alignment horizontal="center"/>
    </xf>
    <xf numFmtId="164" fontId="23" fillId="16" borderId="1" xfId="17" applyNumberFormat="1" applyFont="1" applyFill="1" applyBorder="1"/>
    <xf numFmtId="43" fontId="23" fillId="16" borderId="1" xfId="1" applyFont="1" applyFill="1" applyBorder="1"/>
    <xf numFmtId="167" fontId="23" fillId="16" borderId="17" xfId="10" applyNumberFormat="1" applyFont="1" applyFill="1" applyBorder="1" applyAlignment="1">
      <alignment horizontal="center"/>
    </xf>
    <xf numFmtId="167" fontId="23" fillId="16" borderId="10" xfId="10" applyNumberFormat="1" applyFont="1" applyFill="1" applyBorder="1" applyAlignment="1">
      <alignment horizontal="center"/>
    </xf>
    <xf numFmtId="0" fontId="23" fillId="15" borderId="11" xfId="8" applyFont="1" applyFill="1" applyBorder="1"/>
    <xf numFmtId="0" fontId="23" fillId="15" borderId="12" xfId="8" applyFont="1" applyFill="1" applyBorder="1"/>
    <xf numFmtId="0" fontId="27" fillId="15" borderId="12" xfId="10" quotePrefix="1" applyFont="1" applyFill="1" applyBorder="1" applyAlignment="1">
      <alignment horizontal="center"/>
    </xf>
    <xf numFmtId="0" fontId="27" fillId="15" borderId="12" xfId="10" applyFont="1" applyFill="1" applyBorder="1" applyAlignment="1">
      <alignment horizontal="center"/>
    </xf>
    <xf numFmtId="0" fontId="27" fillId="15" borderId="21" xfId="10" applyFont="1" applyFill="1" applyBorder="1" applyAlignment="1">
      <alignment horizontal="center"/>
    </xf>
    <xf numFmtId="0" fontId="27" fillId="15" borderId="17" xfId="10" applyFont="1" applyFill="1" applyBorder="1" applyAlignment="1">
      <alignment horizontal="center"/>
    </xf>
    <xf numFmtId="0" fontId="27" fillId="15" borderId="22" xfId="10" applyFont="1" applyFill="1" applyBorder="1" applyAlignment="1">
      <alignment horizontal="center"/>
    </xf>
    <xf numFmtId="0" fontId="27" fillId="15" borderId="1" xfId="10" applyFont="1" applyFill="1" applyBorder="1" applyAlignment="1">
      <alignment horizontal="center"/>
    </xf>
    <xf numFmtId="39" fontId="22" fillId="0" borderId="0" xfId="0" applyFont="1" applyFill="1" applyAlignment="1">
      <alignment horizontal="left"/>
    </xf>
    <xf numFmtId="39" fontId="29" fillId="0" borderId="0" xfId="0" applyFont="1" applyFill="1" applyAlignment="1">
      <alignment horizontal="left"/>
    </xf>
    <xf numFmtId="39" fontId="29" fillId="0" borderId="0" xfId="0" quotePrefix="1" applyFont="1" applyFill="1" applyAlignment="1">
      <alignment horizontal="left"/>
    </xf>
    <xf numFmtId="39" fontId="29" fillId="0" borderId="0" xfId="0" applyFont="1" applyFill="1" applyAlignment="1">
      <alignment horizontal="center"/>
    </xf>
    <xf numFmtId="39" fontId="29" fillId="0" borderId="0" xfId="12" applyFont="1" applyFill="1" applyAlignment="1">
      <alignment horizontal="left"/>
    </xf>
    <xf numFmtId="39" fontId="29" fillId="0" borderId="0" xfId="12" quotePrefix="1" applyFont="1" applyFill="1" applyAlignment="1">
      <alignment horizontal="left"/>
    </xf>
    <xf numFmtId="39" fontId="29" fillId="0" borderId="0" xfId="0" applyFont="1" applyFill="1"/>
    <xf numFmtId="0" fontId="54" fillId="15" borderId="5" xfId="8" applyFont="1" applyFill="1" applyBorder="1" applyAlignment="1">
      <alignment horizontal="centerContinuous"/>
    </xf>
    <xf numFmtId="0" fontId="55" fillId="15" borderId="9" xfId="8" applyFont="1" applyFill="1" applyBorder="1" applyAlignment="1">
      <alignment horizontal="centerContinuous"/>
    </xf>
    <xf numFmtId="39" fontId="55" fillId="15" borderId="10" xfId="0" applyFont="1" applyFill="1" applyBorder="1" applyAlignment="1">
      <alignment horizontal="centerContinuous"/>
    </xf>
    <xf numFmtId="37" fontId="50" fillId="0" borderId="11" xfId="0" quotePrefix="1" applyNumberFormat="1" applyFont="1" applyFill="1" applyBorder="1"/>
    <xf numFmtId="39" fontId="27" fillId="12" borderId="57" xfId="0" applyFont="1" applyFill="1" applyBorder="1" applyAlignment="1">
      <alignment horizontal="centerContinuous"/>
    </xf>
    <xf numFmtId="39" fontId="36" fillId="12" borderId="58" xfId="0" applyFont="1" applyFill="1" applyBorder="1" applyAlignment="1">
      <alignment horizontal="centerContinuous"/>
    </xf>
    <xf numFmtId="0" fontId="50" fillId="12" borderId="4" xfId="8" applyFont="1" applyFill="1" applyBorder="1" applyAlignment="1">
      <alignment horizontal="left"/>
    </xf>
    <xf numFmtId="167" fontId="50" fillId="12" borderId="4" xfId="0" quotePrefix="1" applyNumberFormat="1" applyFont="1" applyFill="1" applyBorder="1" applyAlignment="1">
      <alignment horizontal="left"/>
    </xf>
    <xf numFmtId="0" fontId="50" fillId="12" borderId="4" xfId="8" applyNumberFormat="1" applyFont="1" applyFill="1" applyBorder="1" applyAlignment="1">
      <alignment horizontal="left"/>
    </xf>
    <xf numFmtId="39" fontId="51" fillId="12" borderId="4" xfId="8" applyNumberFormat="1" applyFont="1" applyFill="1" applyBorder="1" applyAlignment="1">
      <alignment horizontal="right"/>
    </xf>
    <xf numFmtId="39" fontId="28" fillId="12" borderId="4" xfId="0" applyFont="1" applyFill="1" applyBorder="1" applyAlignment="1" applyProtection="1">
      <alignment horizontal="right"/>
    </xf>
    <xf numFmtId="39" fontId="51" fillId="12" borderId="4" xfId="8" applyNumberFormat="1" applyFont="1" applyFill="1" applyBorder="1"/>
    <xf numFmtId="39" fontId="51" fillId="12" borderId="58" xfId="1" applyNumberFormat="1" applyFont="1" applyFill="1" applyBorder="1"/>
    <xf numFmtId="39" fontId="53" fillId="12" borderId="4" xfId="0" applyFont="1" applyFill="1" applyBorder="1"/>
    <xf numFmtId="0" fontId="27" fillId="0" borderId="8" xfId="8" applyFont="1" applyFill="1" applyBorder="1" applyAlignment="1">
      <alignment horizontal="right"/>
    </xf>
    <xf numFmtId="0" fontId="84" fillId="0" borderId="109" xfId="8" applyFont="1" applyFill="1" applyBorder="1" applyAlignment="1">
      <alignment horizontal="centerContinuous"/>
    </xf>
    <xf numFmtId="0" fontId="85" fillId="0" borderId="108" xfId="8" applyFont="1" applyFill="1" applyBorder="1" applyAlignment="1">
      <alignment horizontal="centerContinuous" vertical="center"/>
    </xf>
    <xf numFmtId="0" fontId="44" fillId="17" borderId="56" xfId="8" quotePrefix="1" applyFont="1" applyFill="1" applyBorder="1" applyAlignment="1">
      <alignment horizontal="center" vertical="center"/>
    </xf>
    <xf numFmtId="0" fontId="36" fillId="0" borderId="4" xfId="8" applyFont="1" applyFill="1" applyBorder="1" applyAlignment="1">
      <alignment horizontal="left"/>
    </xf>
    <xf numFmtId="39" fontId="23" fillId="0" borderId="63" xfId="0" applyFont="1" applyFill="1" applyBorder="1" applyAlignment="1">
      <alignment horizontal="right"/>
    </xf>
    <xf numFmtId="39" fontId="23" fillId="0" borderId="21" xfId="0" applyFont="1" applyFill="1" applyBorder="1" applyAlignment="1">
      <alignment horizontal="right"/>
    </xf>
    <xf numFmtId="0" fontId="3" fillId="0" borderId="9" xfId="0" applyNumberFormat="1" applyFont="1" applyFill="1" applyBorder="1" applyProtection="1"/>
    <xf numFmtId="0" fontId="3" fillId="0" borderId="97" xfId="0" applyNumberFormat="1" applyFont="1" applyFill="1" applyBorder="1" applyProtection="1"/>
    <xf numFmtId="0" fontId="3" fillId="0" borderId="35" xfId="0" applyNumberFormat="1" applyFont="1" applyFill="1" applyBorder="1" applyAlignment="1">
      <alignment horizontal="left"/>
    </xf>
    <xf numFmtId="0" fontId="3" fillId="0" borderId="36" xfId="0" applyNumberFormat="1" applyFont="1" applyFill="1" applyBorder="1" applyAlignment="1"/>
    <xf numFmtId="0" fontId="3" fillId="0" borderId="35" xfId="0" applyNumberFormat="1" applyFont="1" applyFill="1" applyBorder="1" applyAlignment="1" applyProtection="1">
      <protection locked="0"/>
    </xf>
    <xf numFmtId="0" fontId="3" fillId="0" borderId="36" xfId="0" applyNumberFormat="1" applyFont="1" applyFill="1" applyBorder="1" applyAlignment="1" applyProtection="1">
      <protection locked="0"/>
    </xf>
    <xf numFmtId="0" fontId="3" fillId="0" borderId="8" xfId="0" applyNumberFormat="1" applyFont="1" applyFill="1" applyBorder="1" applyAlignment="1" applyProtection="1">
      <protection locked="0"/>
    </xf>
    <xf numFmtId="0" fontId="3" fillId="0" borderId="35" xfId="0" applyNumberFormat="1" applyFont="1" applyFill="1" applyBorder="1" applyAlignment="1">
      <alignment horizontal="centerContinuous"/>
    </xf>
    <xf numFmtId="0" fontId="3" fillId="0" borderId="12" xfId="0" applyNumberFormat="1" applyFont="1" applyFill="1" applyBorder="1" applyAlignment="1">
      <alignment horizontal="center"/>
    </xf>
    <xf numFmtId="0" fontId="3" fillId="0" borderId="38" xfId="0" applyNumberFormat="1" applyFont="1" applyFill="1" applyBorder="1" applyAlignment="1"/>
    <xf numFmtId="0" fontId="3" fillId="0" borderId="0" xfId="0" applyNumberFormat="1" applyFont="1" applyFill="1" applyAlignment="1"/>
    <xf numFmtId="0" fontId="3" fillId="0" borderId="38" xfId="0" applyNumberFormat="1" applyFont="1" applyFill="1" applyBorder="1" applyAlignment="1" applyProtection="1">
      <protection locked="0"/>
    </xf>
    <xf numFmtId="0" fontId="3" fillId="0" borderId="0" xfId="0" applyNumberFormat="1" applyFont="1" applyFill="1" applyAlignment="1" applyProtection="1">
      <protection locked="0"/>
    </xf>
    <xf numFmtId="0" fontId="3" fillId="0" borderId="0" xfId="0" applyNumberFormat="1" applyFont="1" applyFill="1" applyBorder="1" applyAlignment="1" applyProtection="1">
      <protection locked="0"/>
    </xf>
    <xf numFmtId="0" fontId="59" fillId="0" borderId="0" xfId="0" applyNumberFormat="1" applyFont="1" applyFill="1" applyAlignment="1"/>
    <xf numFmtId="0" fontId="59" fillId="0" borderId="82" xfId="0" applyNumberFormat="1" applyFont="1" applyFill="1" applyBorder="1" applyAlignment="1" applyProtection="1">
      <alignment horizontal="center"/>
      <protection locked="0"/>
    </xf>
    <xf numFmtId="39" fontId="59" fillId="0" borderId="0" xfId="0" applyNumberFormat="1" applyFont="1" applyFill="1" applyAlignment="1" applyProtection="1">
      <protection locked="0"/>
    </xf>
    <xf numFmtId="0" fontId="3" fillId="0" borderId="82" xfId="0" applyNumberFormat="1" applyFont="1" applyFill="1" applyBorder="1" applyAlignment="1" applyProtection="1">
      <protection locked="0"/>
    </xf>
    <xf numFmtId="0" fontId="59" fillId="0" borderId="22" xfId="0" applyNumberFormat="1" applyFont="1" applyFill="1" applyBorder="1" applyAlignment="1" applyProtection="1">
      <alignment horizontal="center"/>
      <protection locked="0"/>
    </xf>
    <xf numFmtId="0" fontId="3" fillId="0" borderId="82" xfId="0" applyNumberFormat="1" applyFont="1" applyFill="1" applyBorder="1" applyAlignment="1" applyProtection="1">
      <alignment horizontal="right"/>
      <protection locked="0"/>
    </xf>
    <xf numFmtId="0" fontId="3" fillId="0" borderId="83" xfId="0" applyNumberFormat="1" applyFont="1" applyFill="1" applyBorder="1" applyAlignment="1" applyProtection="1">
      <protection locked="0"/>
    </xf>
    <xf numFmtId="0" fontId="3" fillId="0" borderId="14" xfId="0" applyNumberFormat="1" applyFont="1" applyFill="1" applyBorder="1" applyAlignment="1" applyProtection="1">
      <protection locked="0"/>
    </xf>
    <xf numFmtId="0" fontId="3" fillId="0" borderId="22" xfId="0" applyNumberFormat="1" applyFont="1" applyFill="1" applyBorder="1" applyAlignment="1" applyProtection="1">
      <protection locked="0"/>
    </xf>
    <xf numFmtId="0" fontId="3" fillId="0" borderId="35" xfId="0" applyNumberFormat="1" applyFont="1" applyFill="1" applyBorder="1" applyAlignment="1"/>
    <xf numFmtId="0" fontId="3" fillId="0" borderId="84" xfId="0" applyNumberFormat="1" applyFont="1" applyFill="1" applyBorder="1" applyAlignment="1"/>
    <xf numFmtId="0" fontId="3" fillId="0" borderId="0" xfId="0" applyNumberFormat="1" applyFont="1" applyFill="1" applyBorder="1" applyAlignment="1"/>
    <xf numFmtId="0" fontId="18" fillId="0" borderId="36" xfId="0" applyNumberFormat="1" applyFont="1" applyFill="1" applyBorder="1" applyAlignment="1"/>
    <xf numFmtId="0" fontId="60" fillId="0" borderId="0" xfId="0" applyNumberFormat="1" applyFont="1" applyFill="1" applyAlignment="1"/>
    <xf numFmtId="0" fontId="3" fillId="0" borderId="12" xfId="0" applyNumberFormat="1" applyFont="1" applyFill="1" applyBorder="1" applyAlignment="1"/>
    <xf numFmtId="0" fontId="3" fillId="0" borderId="83" xfId="0" applyNumberFormat="1" applyFont="1" applyFill="1" applyBorder="1" applyAlignment="1"/>
    <xf numFmtId="0" fontId="3" fillId="0" borderId="13" xfId="0" applyNumberFormat="1" applyFont="1" applyFill="1" applyBorder="1" applyAlignment="1" applyProtection="1">
      <protection locked="0"/>
    </xf>
    <xf numFmtId="0" fontId="60" fillId="0" borderId="0" xfId="0" applyNumberFormat="1" applyFont="1" applyFill="1" applyBorder="1" applyAlignment="1" applyProtection="1">
      <protection locked="0"/>
    </xf>
    <xf numFmtId="0" fontId="3" fillId="0" borderId="14" xfId="0" applyNumberFormat="1" applyFont="1" applyFill="1" applyBorder="1" applyAlignment="1"/>
    <xf numFmtId="0" fontId="3" fillId="0" borderId="13" xfId="0" applyNumberFormat="1" applyFont="1" applyFill="1" applyBorder="1" applyAlignment="1">
      <alignment wrapText="1"/>
    </xf>
    <xf numFmtId="0" fontId="59" fillId="0" borderId="4" xfId="0" applyNumberFormat="1" applyFont="1" applyFill="1" applyBorder="1" applyAlignment="1">
      <alignment horizontal="center" vertical="center" wrapText="1"/>
    </xf>
    <xf numFmtId="0" fontId="3" fillId="0" borderId="0" xfId="0" applyNumberFormat="1" applyFont="1" applyFill="1" applyBorder="1" applyAlignment="1">
      <alignment vertical="center"/>
    </xf>
    <xf numFmtId="0" fontId="3" fillId="0" borderId="13" xfId="0" applyNumberFormat="1" applyFont="1" applyFill="1" applyBorder="1" applyAlignment="1"/>
    <xf numFmtId="0" fontId="3" fillId="0" borderId="13" xfId="0" applyNumberFormat="1" applyFont="1" applyFill="1" applyBorder="1" applyAlignment="1">
      <alignment vertical="center"/>
    </xf>
    <xf numFmtId="0" fontId="59" fillId="0" borderId="0" xfId="0" quotePrefix="1" applyNumberFormat="1" applyFont="1" applyFill="1" applyAlignment="1">
      <alignment vertical="center"/>
    </xf>
    <xf numFmtId="0" fontId="3" fillId="0" borderId="0" xfId="0" applyNumberFormat="1" applyFont="1" applyFill="1" applyAlignment="1">
      <alignment vertical="center"/>
    </xf>
    <xf numFmtId="0" fontId="59" fillId="0" borderId="0" xfId="0" applyNumberFormat="1" applyFont="1" applyFill="1" applyAlignment="1">
      <alignment horizontal="center" vertical="center"/>
    </xf>
    <xf numFmtId="0" fontId="3" fillId="0" borderId="14" xfId="0" applyNumberFormat="1" applyFont="1" applyFill="1" applyBorder="1" applyAlignment="1">
      <alignment vertical="center"/>
    </xf>
    <xf numFmtId="0" fontId="3" fillId="0" borderId="4" xfId="0" applyNumberFormat="1" applyFont="1" applyFill="1" applyBorder="1" applyAlignment="1" applyProtection="1">
      <alignment vertical="center"/>
      <protection locked="0"/>
    </xf>
    <xf numFmtId="0" fontId="3" fillId="0" borderId="0" xfId="0" applyNumberFormat="1" applyFont="1" applyFill="1" applyBorder="1" applyAlignment="1" applyProtection="1">
      <alignment vertical="center"/>
      <protection locked="0"/>
    </xf>
    <xf numFmtId="0" fontId="59" fillId="0" borderId="4" xfId="0" applyNumberFormat="1" applyFont="1" applyFill="1" applyBorder="1" applyAlignment="1" applyProtection="1">
      <alignment horizontal="center" vertical="center"/>
      <protection locked="0"/>
    </xf>
    <xf numFmtId="0" fontId="3" fillId="0" borderId="14" xfId="0" applyNumberFormat="1" applyFont="1" applyFill="1" applyBorder="1" applyAlignment="1" applyProtection="1">
      <alignment vertical="center"/>
      <protection locked="0"/>
    </xf>
    <xf numFmtId="0" fontId="3" fillId="0" borderId="17" xfId="0" applyNumberFormat="1" applyFont="1" applyFill="1" applyBorder="1" applyAlignment="1" applyProtection="1">
      <protection locked="0"/>
    </xf>
    <xf numFmtId="0" fontId="3" fillId="0" borderId="46" xfId="0" applyNumberFormat="1" applyFont="1" applyFill="1" applyBorder="1" applyAlignment="1" applyProtection="1">
      <protection locked="0"/>
    </xf>
    <xf numFmtId="0" fontId="3" fillId="0" borderId="21" xfId="0" applyNumberFormat="1" applyFont="1" applyFill="1" applyBorder="1" applyAlignment="1">
      <alignment wrapText="1"/>
    </xf>
    <xf numFmtId="0" fontId="59" fillId="0" borderId="4" xfId="0" quotePrefix="1" applyNumberFormat="1" applyFont="1" applyFill="1" applyBorder="1" applyAlignment="1">
      <alignment horizontal="center" vertical="center" wrapText="1"/>
    </xf>
    <xf numFmtId="0" fontId="3" fillId="0" borderId="22" xfId="0" applyNumberFormat="1" applyFont="1" applyFill="1" applyBorder="1" applyAlignment="1">
      <alignment vertical="center"/>
    </xf>
    <xf numFmtId="0" fontId="3" fillId="0" borderId="22" xfId="0" applyNumberFormat="1" applyFont="1" applyFill="1" applyBorder="1" applyAlignment="1"/>
    <xf numFmtId="0" fontId="3" fillId="0" borderId="17" xfId="0" applyNumberFormat="1" applyFont="1" applyFill="1" applyBorder="1" applyAlignment="1"/>
    <xf numFmtId="0" fontId="3" fillId="0" borderId="21" xfId="0" applyNumberFormat="1" applyFont="1" applyFill="1" applyBorder="1" applyAlignment="1" applyProtection="1">
      <protection locked="0"/>
    </xf>
    <xf numFmtId="39" fontId="66" fillId="0" borderId="0" xfId="0" applyFont="1" applyFill="1" applyBorder="1"/>
    <xf numFmtId="0" fontId="3" fillId="0" borderId="30" xfId="0" applyNumberFormat="1" applyFont="1" applyFill="1" applyBorder="1" applyAlignment="1" applyProtection="1">
      <protection locked="0"/>
    </xf>
    <xf numFmtId="0" fontId="3" fillId="0" borderId="36" xfId="0" applyNumberFormat="1" applyFont="1" applyFill="1" applyBorder="1"/>
    <xf numFmtId="14" fontId="3" fillId="0" borderId="0" xfId="0" applyNumberFormat="1" applyFont="1" applyFill="1" applyAlignment="1"/>
    <xf numFmtId="14" fontId="59" fillId="0" borderId="0" xfId="0" quotePrefix="1" applyNumberFormat="1" applyFont="1" applyFill="1" applyAlignment="1">
      <alignment horizontal="center"/>
    </xf>
    <xf numFmtId="14" fontId="59" fillId="0" borderId="0" xfId="0" quotePrefix="1" applyNumberFormat="1" applyFont="1" applyFill="1" applyBorder="1" applyAlignment="1">
      <alignment horizontal="center"/>
    </xf>
    <xf numFmtId="0" fontId="20" fillId="0" borderId="35" xfId="0" applyNumberFormat="1" applyFont="1" applyFill="1" applyBorder="1" applyAlignment="1">
      <alignment vertical="center"/>
    </xf>
    <xf numFmtId="0" fontId="3" fillId="0" borderId="9" xfId="0" applyNumberFormat="1" applyFont="1" applyFill="1" applyBorder="1" applyAlignment="1"/>
    <xf numFmtId="0" fontId="3" fillId="0" borderId="36" xfId="0" applyNumberFormat="1" applyFont="1" applyFill="1" applyBorder="1" applyAlignment="1">
      <alignment horizontal="left"/>
    </xf>
    <xf numFmtId="0" fontId="3" fillId="0" borderId="85" xfId="0" applyNumberFormat="1" applyFont="1" applyFill="1" applyBorder="1" applyAlignment="1"/>
    <xf numFmtId="0" fontId="64" fillId="0" borderId="35" xfId="0" applyNumberFormat="1" applyFont="1" applyFill="1" applyBorder="1" applyAlignment="1">
      <alignment vertical="center"/>
    </xf>
    <xf numFmtId="0" fontId="3" fillId="0" borderId="36" xfId="0" applyNumberFormat="1" applyFont="1" applyFill="1" applyBorder="1" applyAlignment="1">
      <alignment horizontal="center" vertical="center"/>
    </xf>
    <xf numFmtId="0" fontId="59" fillId="0" borderId="35" xfId="0" applyNumberFormat="1" applyFont="1" applyFill="1" applyBorder="1" applyAlignment="1"/>
    <xf numFmtId="0" fontId="3" fillId="0" borderId="37" xfId="0" applyNumberFormat="1" applyFont="1" applyFill="1" applyBorder="1" applyAlignment="1"/>
    <xf numFmtId="0" fontId="3" fillId="0" borderId="43" xfId="0" applyNumberFormat="1" applyFont="1" applyFill="1" applyBorder="1" applyAlignment="1"/>
    <xf numFmtId="0" fontId="3" fillId="0" borderId="86" xfId="0" applyNumberFormat="1" applyFont="1" applyFill="1" applyBorder="1" applyAlignment="1"/>
    <xf numFmtId="0" fontId="3" fillId="0" borderId="87" xfId="0" applyNumberFormat="1" applyFont="1" applyFill="1" applyBorder="1" applyAlignment="1"/>
    <xf numFmtId="0" fontId="64" fillId="0" borderId="73" xfId="0" applyNumberFormat="1" applyFont="1" applyFill="1" applyBorder="1" applyAlignment="1">
      <alignment vertical="center"/>
    </xf>
    <xf numFmtId="8" fontId="3" fillId="0" borderId="0" xfId="0" applyNumberFormat="1" applyFont="1" applyFill="1" applyBorder="1" applyAlignment="1" applyProtection="1">
      <alignment horizontal="right"/>
      <protection locked="0"/>
    </xf>
    <xf numFmtId="8" fontId="3" fillId="0" borderId="17" xfId="0" applyNumberFormat="1" applyFont="1" applyFill="1" applyBorder="1" applyAlignment="1" applyProtection="1">
      <alignment horizontal="right"/>
      <protection locked="0"/>
    </xf>
    <xf numFmtId="0" fontId="59" fillId="0" borderId="65" xfId="0" applyNumberFormat="1" applyFont="1" applyFill="1" applyBorder="1" applyAlignment="1"/>
    <xf numFmtId="0" fontId="3" fillId="0" borderId="32" xfId="0" applyNumberFormat="1" applyFont="1" applyFill="1" applyBorder="1" applyAlignment="1"/>
    <xf numFmtId="0" fontId="3" fillId="0" borderId="32" xfId="0" applyNumberFormat="1" applyFont="1" applyFill="1" applyBorder="1" applyAlignment="1" applyProtection="1">
      <protection locked="0"/>
    </xf>
    <xf numFmtId="0" fontId="3" fillId="0" borderId="31" xfId="0" applyNumberFormat="1" applyFont="1" applyFill="1" applyBorder="1" applyAlignment="1" applyProtection="1">
      <protection locked="0"/>
    </xf>
    <xf numFmtId="0" fontId="3" fillId="0" borderId="89" xfId="0" applyNumberFormat="1" applyFont="1" applyFill="1" applyBorder="1" applyAlignment="1"/>
    <xf numFmtId="0" fontId="3" fillId="0" borderId="30" xfId="0" applyNumberFormat="1" applyFont="1" applyFill="1" applyBorder="1" applyAlignment="1"/>
    <xf numFmtId="0" fontId="3" fillId="0" borderId="39" xfId="0" applyNumberFormat="1" applyFont="1" applyFill="1" applyBorder="1" applyAlignment="1"/>
    <xf numFmtId="0" fontId="3" fillId="0" borderId="90" xfId="0" applyNumberFormat="1" applyFont="1" applyFill="1" applyBorder="1" applyAlignment="1"/>
    <xf numFmtId="0" fontId="3" fillId="0" borderId="91" xfId="0" applyNumberFormat="1" applyFont="1" applyFill="1" applyBorder="1" applyAlignment="1"/>
    <xf numFmtId="0" fontId="3" fillId="0" borderId="92" xfId="0" applyNumberFormat="1" applyFont="1" applyFill="1" applyBorder="1" applyAlignment="1"/>
    <xf numFmtId="0" fontId="59" fillId="0" borderId="93" xfId="0" applyNumberFormat="1" applyFont="1" applyFill="1" applyBorder="1" applyAlignment="1"/>
    <xf numFmtId="0" fontId="3" fillId="0" borderId="94" xfId="0" applyNumberFormat="1" applyFont="1" applyFill="1" applyBorder="1" applyAlignment="1" applyProtection="1">
      <protection locked="0"/>
    </xf>
    <xf numFmtId="0" fontId="3" fillId="0" borderId="95" xfId="0" applyNumberFormat="1" applyFont="1" applyFill="1" applyBorder="1" applyAlignment="1"/>
    <xf numFmtId="0" fontId="3" fillId="0" borderId="94" xfId="0" applyNumberFormat="1" applyFont="1" applyFill="1" applyBorder="1" applyAlignment="1"/>
    <xf numFmtId="0" fontId="3" fillId="0" borderId="42" xfId="0" applyNumberFormat="1" applyFont="1" applyFill="1" applyBorder="1" applyAlignment="1"/>
    <xf numFmtId="0" fontId="3" fillId="0" borderId="91" xfId="0" applyNumberFormat="1" applyFont="1" applyFill="1" applyBorder="1"/>
    <xf numFmtId="0" fontId="18" fillId="0" borderId="83" xfId="0" applyNumberFormat="1" applyFont="1" applyFill="1" applyBorder="1"/>
    <xf numFmtId="0" fontId="3" fillId="0" borderId="9" xfId="0" applyNumberFormat="1" applyFont="1" applyFill="1" applyBorder="1"/>
    <xf numFmtId="0" fontId="60" fillId="0" borderId="17" xfId="0" applyNumberFormat="1" applyFont="1" applyFill="1" applyBorder="1" applyAlignment="1"/>
    <xf numFmtId="0" fontId="3" fillId="0" borderId="5" xfId="0" applyNumberFormat="1" applyFont="1" applyFill="1" applyBorder="1" applyAlignment="1">
      <alignment horizontal="left"/>
    </xf>
    <xf numFmtId="0" fontId="3" fillId="0" borderId="4" xfId="0" applyNumberFormat="1" applyFont="1" applyFill="1" applyBorder="1"/>
    <xf numFmtId="0" fontId="3" fillId="0" borderId="90" xfId="0" applyNumberFormat="1" applyFont="1" applyFill="1" applyBorder="1"/>
    <xf numFmtId="0" fontId="18" fillId="0" borderId="91" xfId="0" applyNumberFormat="1" applyFont="1" applyFill="1" applyBorder="1"/>
    <xf numFmtId="0" fontId="18" fillId="0" borderId="96" xfId="0" applyNumberFormat="1" applyFont="1" applyFill="1" applyBorder="1"/>
    <xf numFmtId="0" fontId="3" fillId="0" borderId="96" xfId="0" applyNumberFormat="1" applyFont="1" applyFill="1" applyBorder="1"/>
    <xf numFmtId="0" fontId="18" fillId="0" borderId="10" xfId="0" applyNumberFormat="1" applyFont="1" applyFill="1" applyBorder="1"/>
    <xf numFmtId="0" fontId="18" fillId="0" borderId="5" xfId="0" applyNumberFormat="1" applyFont="1" applyFill="1" applyBorder="1"/>
    <xf numFmtId="0" fontId="18" fillId="0" borderId="9" xfId="0" applyNumberFormat="1" applyFont="1" applyFill="1" applyBorder="1"/>
    <xf numFmtId="0" fontId="18" fillId="0" borderId="91" xfId="0" applyNumberFormat="1" applyFont="1" applyFill="1" applyBorder="1" applyAlignment="1">
      <alignment horizontal="center"/>
    </xf>
    <xf numFmtId="0" fontId="0" fillId="0" borderId="96" xfId="0" applyNumberFormat="1" applyFill="1" applyBorder="1"/>
    <xf numFmtId="0" fontId="3" fillId="0" borderId="45" xfId="0" applyNumberFormat="1" applyFont="1" applyFill="1" applyBorder="1" applyAlignment="1">
      <alignment vertical="top"/>
    </xf>
    <xf numFmtId="0" fontId="3" fillId="0" borderId="10" xfId="0" applyNumberFormat="1" applyFont="1" applyFill="1" applyBorder="1" applyProtection="1"/>
    <xf numFmtId="0" fontId="3" fillId="0" borderId="22" xfId="0" applyNumberFormat="1" applyFont="1" applyFill="1" applyBorder="1" applyProtection="1"/>
    <xf numFmtId="10" fontId="3" fillId="0" borderId="10" xfId="0" quotePrefix="1" applyNumberFormat="1" applyFont="1" applyFill="1" applyBorder="1" applyAlignment="1" applyProtection="1">
      <alignment horizontal="center"/>
    </xf>
    <xf numFmtId="0" fontId="3" fillId="0" borderId="98" xfId="0" applyNumberFormat="1" applyFont="1" applyFill="1" applyBorder="1" applyProtection="1"/>
    <xf numFmtId="0" fontId="3" fillId="0" borderId="99" xfId="0" applyNumberFormat="1" applyFont="1" applyFill="1" applyBorder="1" applyProtection="1"/>
    <xf numFmtId="0" fontId="3" fillId="0" borderId="30" xfId="0" applyNumberFormat="1" applyFont="1" applyFill="1" applyBorder="1" applyProtection="1"/>
    <xf numFmtId="0" fontId="3" fillId="0" borderId="100" xfId="0" applyNumberFormat="1" applyFont="1" applyFill="1" applyBorder="1" applyProtection="1"/>
    <xf numFmtId="0" fontId="3" fillId="0" borderId="101" xfId="0" applyNumberFormat="1" applyFont="1" applyFill="1" applyBorder="1" applyAlignment="1">
      <alignment vertical="top"/>
    </xf>
    <xf numFmtId="0" fontId="3" fillId="0" borderId="93" xfId="0" applyNumberFormat="1" applyFont="1" applyFill="1" applyBorder="1" applyProtection="1"/>
    <xf numFmtId="0" fontId="3" fillId="0" borderId="102" xfId="0" applyNumberFormat="1" applyFont="1" applyFill="1" applyBorder="1" applyProtection="1"/>
    <xf numFmtId="0" fontId="3" fillId="0" borderId="103" xfId="0" applyNumberFormat="1" applyFont="1" applyFill="1" applyBorder="1" applyProtection="1"/>
    <xf numFmtId="10" fontId="3" fillId="0" borderId="31" xfId="0" quotePrefix="1" applyNumberFormat="1" applyFont="1" applyFill="1" applyBorder="1" applyAlignment="1" applyProtection="1">
      <alignment horizontal="center"/>
    </xf>
    <xf numFmtId="0" fontId="0" fillId="0" borderId="22" xfId="0" applyNumberFormat="1" applyFill="1" applyBorder="1" applyAlignment="1" applyProtection="1">
      <protection locked="0"/>
    </xf>
    <xf numFmtId="0" fontId="3" fillId="0" borderId="22" xfId="0" applyNumberFormat="1" applyFont="1" applyFill="1" applyBorder="1"/>
    <xf numFmtId="179" fontId="3" fillId="0" borderId="22" xfId="0" applyNumberFormat="1" applyFont="1" applyFill="1" applyBorder="1" applyProtection="1">
      <protection locked="0"/>
    </xf>
    <xf numFmtId="179" fontId="3" fillId="0" borderId="22" xfId="0" applyNumberFormat="1" applyFont="1" applyFill="1" applyBorder="1" applyAlignment="1" applyProtection="1">
      <alignment horizontal="left"/>
    </xf>
    <xf numFmtId="0" fontId="3" fillId="0" borderId="22" xfId="0" applyNumberFormat="1" applyFont="1" applyFill="1" applyBorder="1" applyAlignment="1">
      <alignment horizontal="left"/>
    </xf>
    <xf numFmtId="0" fontId="0" fillId="0" borderId="17" xfId="0" applyNumberFormat="1" applyFill="1" applyBorder="1" applyAlignment="1" applyProtection="1">
      <protection locked="0"/>
    </xf>
    <xf numFmtId="0" fontId="3" fillId="0" borderId="1" xfId="0" applyNumberFormat="1" applyFont="1" applyFill="1" applyBorder="1" applyAlignment="1" applyProtection="1">
      <protection locked="0"/>
    </xf>
    <xf numFmtId="0" fontId="3" fillId="0" borderId="11" xfId="0" applyNumberFormat="1" applyFont="1" applyFill="1" applyBorder="1" applyAlignment="1">
      <alignment vertical="top"/>
    </xf>
    <xf numFmtId="0" fontId="3" fillId="0" borderId="8" xfId="0" applyNumberFormat="1" applyFont="1" applyFill="1" applyBorder="1" applyAlignment="1"/>
    <xf numFmtId="0" fontId="3" fillId="0" borderId="11" xfId="0" applyNumberFormat="1" applyFont="1" applyFill="1" applyBorder="1" applyAlignment="1"/>
    <xf numFmtId="39" fontId="62" fillId="0" borderId="38" xfId="13" applyNumberFormat="1" applyFont="1" applyFill="1" applyBorder="1" applyAlignment="1" applyProtection="1"/>
    <xf numFmtId="39" fontId="3" fillId="0" borderId="0" xfId="0" applyNumberFormat="1" applyFont="1" applyFill="1" applyBorder="1" applyAlignment="1" applyProtection="1">
      <protection locked="0"/>
    </xf>
    <xf numFmtId="39" fontId="65" fillId="0" borderId="38" xfId="13" applyFont="1" applyFill="1" applyBorder="1" applyAlignment="1" applyProtection="1">
      <alignment horizontal="left"/>
    </xf>
    <xf numFmtId="39" fontId="36" fillId="16" borderId="68" xfId="0" applyFont="1" applyFill="1" applyBorder="1"/>
    <xf numFmtId="39" fontId="36" fillId="16" borderId="72" xfId="0" applyFont="1" applyFill="1" applyBorder="1"/>
    <xf numFmtId="0" fontId="27" fillId="15" borderId="5" xfId="8" applyFont="1" applyFill="1" applyBorder="1" applyAlignment="1">
      <alignment horizontal="right"/>
    </xf>
    <xf numFmtId="39" fontId="28" fillId="12" borderId="4" xfId="0" applyFont="1" applyFill="1" applyBorder="1"/>
    <xf numFmtId="39" fontId="28" fillId="12" borderId="4" xfId="8" applyNumberFormat="1" applyFont="1" applyFill="1" applyBorder="1"/>
    <xf numFmtId="39" fontId="27" fillId="0" borderId="4" xfId="0" applyFont="1" applyFill="1" applyBorder="1" applyAlignment="1">
      <alignment horizontal="center"/>
    </xf>
    <xf numFmtId="39" fontId="46" fillId="0" borderId="4" xfId="0" applyFont="1" applyFill="1" applyBorder="1" applyAlignment="1"/>
    <xf numFmtId="39" fontId="46" fillId="0" borderId="1" xfId="0" applyFont="1" applyFill="1" applyBorder="1" applyAlignment="1"/>
    <xf numFmtId="39" fontId="46" fillId="6" borderId="1" xfId="0" applyFont="1" applyFill="1" applyBorder="1" applyAlignment="1"/>
    <xf numFmtId="39" fontId="29" fillId="0" borderId="5" xfId="0" applyFont="1" applyFill="1" applyBorder="1" applyProtection="1"/>
    <xf numFmtId="39" fontId="46" fillId="0" borderId="10" xfId="0" applyFont="1" applyFill="1" applyBorder="1" applyAlignment="1">
      <alignment horizontal="right"/>
    </xf>
    <xf numFmtId="39" fontId="46" fillId="0" borderId="21" xfId="0" applyFont="1" applyFill="1" applyBorder="1"/>
    <xf numFmtId="39" fontId="46" fillId="0" borderId="17" xfId="0" applyFont="1" applyFill="1" applyBorder="1" applyAlignment="1">
      <alignment horizontal="right"/>
    </xf>
    <xf numFmtId="39" fontId="29" fillId="0" borderId="21" xfId="0" applyFont="1" applyFill="1" applyBorder="1"/>
    <xf numFmtId="39" fontId="46" fillId="0" borderId="5" xfId="0" applyFont="1" applyFill="1" applyBorder="1"/>
    <xf numFmtId="39" fontId="46" fillId="6" borderId="4" xfId="0" applyFont="1" applyFill="1" applyBorder="1" applyAlignment="1"/>
    <xf numFmtId="39" fontId="46" fillId="6" borderId="1" xfId="0" applyFont="1" applyFill="1" applyBorder="1" applyAlignment="1">
      <alignment horizontal="right"/>
    </xf>
    <xf numFmtId="39" fontId="86" fillId="12" borderId="21" xfId="0" applyFont="1" applyFill="1" applyBorder="1" applyProtection="1"/>
    <xf numFmtId="39" fontId="87" fillId="12" borderId="22" xfId="0" applyFont="1" applyFill="1" applyBorder="1"/>
    <xf numFmtId="39" fontId="87" fillId="12" borderId="17" xfId="0" applyFont="1" applyFill="1" applyBorder="1"/>
    <xf numFmtId="39" fontId="86" fillId="12" borderId="21" xfId="0" applyFont="1" applyFill="1" applyBorder="1"/>
    <xf numFmtId="39" fontId="87" fillId="12" borderId="21" xfId="0" quotePrefix="1" applyFont="1" applyFill="1" applyBorder="1"/>
    <xf numFmtId="0" fontId="59" fillId="9" borderId="0" xfId="0" applyNumberFormat="1" applyFont="1" applyFill="1" applyBorder="1" applyAlignment="1">
      <alignment horizontal="left"/>
    </xf>
    <xf numFmtId="0" fontId="59" fillId="9" borderId="0" xfId="0" applyNumberFormat="1" applyFont="1" applyFill="1" applyAlignment="1" applyProtection="1">
      <protection locked="0"/>
    </xf>
    <xf numFmtId="180" fontId="3" fillId="0" borderId="4" xfId="0" quotePrefix="1" applyNumberFormat="1" applyFont="1" applyFill="1" applyBorder="1" applyProtection="1"/>
    <xf numFmtId="180" fontId="3" fillId="0" borderId="1" xfId="0" quotePrefix="1" applyNumberFormat="1" applyFont="1" applyFill="1" applyBorder="1" applyAlignment="1" applyProtection="1"/>
    <xf numFmtId="180" fontId="3" fillId="0" borderId="104" xfId="0" applyNumberFormat="1" applyFont="1" applyFill="1" applyBorder="1" applyProtection="1"/>
    <xf numFmtId="180" fontId="3" fillId="0" borderId="105" xfId="0" applyNumberFormat="1" applyFont="1" applyFill="1" applyBorder="1" applyAlignment="1" applyProtection="1"/>
    <xf numFmtId="0" fontId="51" fillId="7" borderId="0" xfId="8" applyFont="1" applyFill="1" applyBorder="1" applyAlignment="1">
      <alignment horizontal="center"/>
    </xf>
    <xf numFmtId="167" fontId="51" fillId="7" borderId="0" xfId="8" applyNumberFormat="1" applyFont="1" applyFill="1" applyBorder="1" applyAlignment="1">
      <alignment horizontal="center"/>
    </xf>
    <xf numFmtId="164" fontId="51" fillId="7" borderId="0" xfId="17" applyNumberFormat="1" applyFont="1" applyFill="1" applyBorder="1" applyAlignment="1">
      <alignment horizontal="center"/>
    </xf>
    <xf numFmtId="39" fontId="52" fillId="2" borderId="0" xfId="0" applyFont="1" applyFill="1" applyBorder="1" applyAlignment="1">
      <alignment horizontal="center"/>
    </xf>
    <xf numFmtId="173" fontId="23" fillId="0" borderId="0" xfId="0" applyNumberFormat="1" applyFont="1" applyFill="1" applyBorder="1" applyAlignment="1" applyProtection="1">
      <alignment horizontal="right"/>
    </xf>
    <xf numFmtId="0" fontId="27" fillId="0" borderId="13" xfId="10" applyFont="1" applyFill="1" applyBorder="1" applyAlignment="1">
      <alignment horizontal="center"/>
    </xf>
    <xf numFmtId="0" fontId="27" fillId="0" borderId="0" xfId="10" applyFont="1" applyFill="1" applyBorder="1" applyAlignment="1">
      <alignment horizontal="center"/>
    </xf>
    <xf numFmtId="43" fontId="23" fillId="0" borderId="4" xfId="8" applyNumberFormat="1" applyFont="1" applyFill="1" applyBorder="1"/>
    <xf numFmtId="39" fontId="36" fillId="0" borderId="0" xfId="1" applyNumberFormat="1" applyFont="1" applyFill="1" applyBorder="1"/>
    <xf numFmtId="0" fontId="3" fillId="0" borderId="45" xfId="0" applyNumberFormat="1" applyFont="1" applyFill="1" applyBorder="1" applyAlignment="1"/>
    <xf numFmtId="44" fontId="88" fillId="0" borderId="0" xfId="8" applyNumberFormat="1" applyFont="1" applyFill="1" applyBorder="1" applyAlignment="1">
      <alignment horizontal="left"/>
    </xf>
    <xf numFmtId="43" fontId="23" fillId="0" borderId="0" xfId="1" applyFont="1" applyFill="1" applyBorder="1"/>
    <xf numFmtId="167" fontId="23" fillId="0" borderId="0" xfId="10" applyNumberFormat="1" applyFont="1" applyFill="1" applyBorder="1" applyAlignment="1">
      <alignment horizontal="center"/>
    </xf>
    <xf numFmtId="164" fontId="23" fillId="0" borderId="0" xfId="17" applyNumberFormat="1" applyFont="1" applyFill="1" applyBorder="1"/>
    <xf numFmtId="0" fontId="3" fillId="0" borderId="0" xfId="0" applyNumberFormat="1" applyFont="1" applyFill="1" applyBorder="1" applyAlignment="1" applyProtection="1"/>
    <xf numFmtId="0" fontId="59" fillId="0" borderId="13" xfId="0" applyNumberFormat="1" applyFont="1" applyFill="1" applyBorder="1" applyAlignment="1" applyProtection="1">
      <alignment vertical="top"/>
    </xf>
    <xf numFmtId="0" fontId="3" fillId="0" borderId="13" xfId="0" applyNumberFormat="1" applyFont="1" applyFill="1" applyBorder="1" applyAlignment="1" applyProtection="1">
      <alignment vertical="top"/>
    </xf>
    <xf numFmtId="39" fontId="3" fillId="9" borderId="0" xfId="0" applyNumberFormat="1" applyFont="1" applyFill="1" applyAlignment="1" applyProtection="1"/>
    <xf numFmtId="39" fontId="3" fillId="0" borderId="0" xfId="0" applyNumberFormat="1" applyFont="1" applyFill="1" applyBorder="1" applyAlignment="1" applyProtection="1"/>
    <xf numFmtId="0" fontId="78" fillId="0" borderId="0" xfId="8" applyFont="1" applyFill="1" applyBorder="1" applyAlignment="1">
      <alignment horizontal="left"/>
    </xf>
    <xf numFmtId="0" fontId="37" fillId="0" borderId="0" xfId="8" applyFont="1" applyFill="1" applyBorder="1"/>
    <xf numFmtId="0" fontId="23" fillId="0" borderId="0" xfId="8" applyFont="1" applyFill="1" applyBorder="1" applyAlignment="1">
      <alignment horizontal="left"/>
    </xf>
    <xf numFmtId="39" fontId="23" fillId="0" borderId="0" xfId="0" applyFont="1" applyFill="1" applyBorder="1" applyAlignment="1">
      <alignment horizontal="left"/>
    </xf>
    <xf numFmtId="39" fontId="23" fillId="0" borderId="0" xfId="0" applyFont="1" applyBorder="1" applyAlignment="1">
      <alignment horizontal="left"/>
    </xf>
    <xf numFmtId="39" fontId="86" fillId="12" borderId="9" xfId="0" applyFont="1" applyFill="1" applyBorder="1" applyAlignment="1" applyProtection="1">
      <alignment horizontal="left" vertical="center"/>
    </xf>
    <xf numFmtId="39" fontId="86" fillId="12" borderId="10" xfId="0" applyFont="1" applyFill="1" applyBorder="1" applyAlignment="1" applyProtection="1">
      <alignment horizontal="left" vertical="center"/>
    </xf>
    <xf numFmtId="44" fontId="89" fillId="12" borderId="5" xfId="8" applyNumberFormat="1" applyFont="1" applyFill="1" applyBorder="1" applyAlignment="1">
      <alignment horizontal="left"/>
    </xf>
    <xf numFmtId="39" fontId="89" fillId="12" borderId="9" xfId="0" applyFont="1" applyFill="1" applyBorder="1"/>
    <xf numFmtId="39" fontId="90" fillId="12" borderId="10" xfId="1" applyNumberFormat="1" applyFont="1" applyFill="1" applyBorder="1"/>
    <xf numFmtId="0" fontId="3" fillId="0" borderId="88" xfId="0" applyNumberFormat="1" applyFont="1" applyFill="1" applyBorder="1" applyAlignment="1">
      <alignment horizontal="right"/>
    </xf>
    <xf numFmtId="0" fontId="27" fillId="15" borderId="2" xfId="8" applyFont="1" applyFill="1" applyBorder="1" applyAlignment="1">
      <alignment horizontal="center"/>
    </xf>
    <xf numFmtId="0" fontId="27" fillId="15" borderId="1" xfId="8" applyFont="1" applyFill="1" applyBorder="1" applyAlignment="1">
      <alignment horizontal="center" vertical="top"/>
    </xf>
    <xf numFmtId="39" fontId="28" fillId="3" borderId="4" xfId="0" applyFont="1" applyFill="1" applyBorder="1" applyProtection="1"/>
    <xf numFmtId="0" fontId="92" fillId="0" borderId="13" xfId="18" applyFont="1" applyBorder="1" applyAlignment="1">
      <alignment horizontal="right"/>
    </xf>
    <xf numFmtId="0" fontId="92" fillId="0" borderId="0" xfId="18" applyFont="1" applyBorder="1" applyAlignment="1">
      <alignment horizontal="right"/>
    </xf>
    <xf numFmtId="0" fontId="92" fillId="0" borderId="21" xfId="18" applyFont="1" applyBorder="1" applyAlignment="1">
      <alignment horizontal="right"/>
    </xf>
    <xf numFmtId="0" fontId="92" fillId="0" borderId="22" xfId="18" applyFont="1" applyBorder="1"/>
    <xf numFmtId="0" fontId="92" fillId="0" borderId="17" xfId="18" applyFont="1" applyBorder="1"/>
    <xf numFmtId="0" fontId="81" fillId="0" borderId="0" xfId="18" applyFont="1" applyBorder="1" applyAlignment="1">
      <alignment horizontal="right"/>
    </xf>
    <xf numFmtId="0" fontId="81" fillId="0" borderId="22" xfId="18" applyFont="1" applyBorder="1" applyAlignment="1">
      <alignment horizontal="right"/>
    </xf>
    <xf numFmtId="14" fontId="81" fillId="16" borderId="0" xfId="18" applyNumberFormat="1" applyFont="1" applyFill="1" applyBorder="1"/>
    <xf numFmtId="43" fontId="2" fillId="16" borderId="22" xfId="1" applyFont="1" applyFill="1" applyBorder="1"/>
    <xf numFmtId="14" fontId="81" fillId="16" borderId="14" xfId="18" applyNumberFormat="1" applyFont="1" applyFill="1" applyBorder="1"/>
    <xf numFmtId="43" fontId="91" fillId="12" borderId="4" xfId="1" applyFont="1" applyFill="1" applyBorder="1"/>
    <xf numFmtId="39" fontId="23" fillId="0" borderId="0" xfId="0" applyFont="1" applyFill="1" applyAlignment="1">
      <alignment horizontal="right"/>
    </xf>
    <xf numFmtId="0" fontId="23" fillId="0" borderId="14" xfId="8" applyFont="1" applyFill="1" applyBorder="1"/>
    <xf numFmtId="0" fontId="23" fillId="0" borderId="13" xfId="8" applyFont="1" applyFill="1" applyBorder="1"/>
    <xf numFmtId="0" fontId="29" fillId="0" borderId="0" xfId="8" applyFont="1" applyFill="1" applyBorder="1" applyAlignment="1">
      <alignment horizontal="right"/>
    </xf>
    <xf numFmtId="9" fontId="81" fillId="16" borderId="0" xfId="17" applyFont="1" applyFill="1" applyBorder="1"/>
    <xf numFmtId="9" fontId="23" fillId="16" borderId="14" xfId="17" applyFont="1" applyFill="1" applyBorder="1"/>
    <xf numFmtId="9" fontId="92" fillId="16" borderId="14" xfId="17" applyFont="1" applyFill="1" applyBorder="1"/>
    <xf numFmtId="43" fontId="81" fillId="16" borderId="0" xfId="1" applyFont="1" applyFill="1" applyBorder="1" applyAlignment="1"/>
    <xf numFmtId="43" fontId="81" fillId="16" borderId="14" xfId="1" applyFont="1" applyFill="1" applyBorder="1" applyAlignment="1"/>
    <xf numFmtId="0" fontId="94" fillId="12" borderId="9" xfId="18" applyFont="1" applyFill="1" applyBorder="1" applyAlignment="1">
      <alignment vertical="center"/>
    </xf>
    <xf numFmtId="0" fontId="94" fillId="12" borderId="10" xfId="18" applyFont="1" applyFill="1" applyBorder="1" applyAlignment="1">
      <alignment vertical="center"/>
    </xf>
    <xf numFmtId="0" fontId="95" fillId="12" borderId="5" xfId="18" applyFont="1" applyFill="1" applyBorder="1" applyAlignment="1">
      <alignment vertical="center"/>
    </xf>
    <xf numFmtId="39" fontId="0" fillId="9" borderId="38" xfId="0" applyFill="1" applyBorder="1"/>
    <xf numFmtId="0" fontId="20" fillId="0" borderId="38" xfId="0" applyNumberFormat="1" applyFont="1" applyFill="1" applyBorder="1" applyAlignment="1">
      <alignment horizontal="left"/>
    </xf>
    <xf numFmtId="39" fontId="6" fillId="10" borderId="0" xfId="0" applyNumberFormat="1" applyFont="1" applyFill="1" applyBorder="1"/>
    <xf numFmtId="0" fontId="20" fillId="0" borderId="13" xfId="0" applyNumberFormat="1" applyFont="1" applyFill="1" applyBorder="1" applyAlignment="1">
      <alignment horizontal="left"/>
    </xf>
    <xf numFmtId="39" fontId="0" fillId="9" borderId="13" xfId="0" applyFill="1" applyBorder="1"/>
    <xf numFmtId="43" fontId="87" fillId="12" borderId="4" xfId="8" applyNumberFormat="1" applyFont="1" applyFill="1" applyBorder="1"/>
    <xf numFmtId="164" fontId="36" fillId="16" borderId="4" xfId="1" applyNumberFormat="1" applyFont="1" applyFill="1" applyBorder="1" applyAlignment="1">
      <alignment horizontal="right"/>
    </xf>
    <xf numFmtId="39" fontId="29" fillId="0" borderId="0" xfId="0" applyFont="1" applyAlignment="1">
      <alignment vertical="top"/>
    </xf>
    <xf numFmtId="39" fontId="23" fillId="0" borderId="0" xfId="0" applyFont="1" applyBorder="1" applyAlignment="1">
      <alignment horizontal="left" wrapText="1" indent="1"/>
    </xf>
    <xf numFmtId="39" fontId="23" fillId="0" borderId="0" xfId="0" applyFont="1" applyBorder="1" applyAlignment="1">
      <alignment horizontal="left" indent="1"/>
    </xf>
    <xf numFmtId="39" fontId="23" fillId="0" borderId="0" xfId="0" applyFont="1" applyAlignment="1">
      <alignment horizontal="left" indent="1"/>
    </xf>
    <xf numFmtId="2" fontId="23" fillId="0" borderId="0" xfId="0" applyNumberFormat="1" applyFont="1" applyBorder="1" applyAlignment="1">
      <alignment horizontal="left" wrapText="1" indent="1"/>
    </xf>
    <xf numFmtId="39" fontId="23" fillId="0" borderId="0" xfId="0" applyFont="1" applyBorder="1" applyAlignment="1">
      <alignment horizontal="left" wrapText="1" indent="2"/>
    </xf>
    <xf numFmtId="39" fontId="23" fillId="0" borderId="0" xfId="0" applyFont="1" applyBorder="1" applyAlignment="1">
      <alignment horizontal="left" indent="2"/>
    </xf>
    <xf numFmtId="39" fontId="23" fillId="0" borderId="0" xfId="0" applyFont="1" applyAlignment="1">
      <alignment horizontal="left" indent="2"/>
    </xf>
    <xf numFmtId="2" fontId="23" fillId="0" borderId="0" xfId="0" applyNumberFormat="1" applyFont="1" applyBorder="1" applyAlignment="1">
      <alignment horizontal="left" wrapText="1" indent="2"/>
    </xf>
    <xf numFmtId="39" fontId="78" fillId="0" borderId="0" xfId="0" applyFont="1" applyAlignment="1">
      <alignment vertical="top"/>
    </xf>
    <xf numFmtId="39" fontId="23" fillId="0" borderId="0" xfId="0" applyFont="1" applyBorder="1" applyAlignment="1">
      <alignment horizontal="left" vertical="top" wrapText="1" indent="2"/>
    </xf>
    <xf numFmtId="181" fontId="23" fillId="0" borderId="0" xfId="0" applyNumberFormat="1" applyFont="1"/>
    <xf numFmtId="39" fontId="23" fillId="0" borderId="9" xfId="0" applyFont="1" applyFill="1" applyBorder="1"/>
    <xf numFmtId="39" fontId="23" fillId="0" borderId="0" xfId="0" applyFont="1" applyBorder="1" applyAlignment="1">
      <alignment wrapText="1"/>
    </xf>
    <xf numFmtId="39" fontId="36" fillId="0" borderId="9" xfId="1" applyNumberFormat="1" applyFont="1" applyFill="1" applyBorder="1" applyAlignment="1">
      <alignment horizontal="center"/>
    </xf>
    <xf numFmtId="39" fontId="48" fillId="0" borderId="9" xfId="0" applyNumberFormat="1" applyFont="1" applyFill="1" applyBorder="1" applyAlignment="1" applyProtection="1">
      <alignment horizontal="left"/>
    </xf>
    <xf numFmtId="39" fontId="96" fillId="0" borderId="0" xfId="0" applyFont="1"/>
    <xf numFmtId="39" fontId="97" fillId="0" borderId="0" xfId="0" applyFont="1" applyAlignment="1">
      <alignment horizontal="left"/>
    </xf>
    <xf numFmtId="39" fontId="36" fillId="0" borderId="0" xfId="0" applyFont="1"/>
    <xf numFmtId="39" fontId="36" fillId="0" borderId="0" xfId="0" applyFont="1" applyAlignment="1">
      <alignment vertical="top"/>
    </xf>
    <xf numFmtId="39" fontId="37" fillId="0" borderId="0" xfId="0" applyFont="1" applyAlignment="1">
      <alignment vertical="center" wrapText="1"/>
    </xf>
    <xf numFmtId="43" fontId="37" fillId="0" borderId="0" xfId="1" applyFont="1" applyBorder="1" applyAlignment="1">
      <alignment horizontal="center"/>
    </xf>
    <xf numFmtId="182" fontId="63" fillId="0" borderId="0" xfId="0" applyNumberFormat="1" applyFont="1" applyAlignment="1">
      <alignment vertical="top"/>
    </xf>
    <xf numFmtId="39" fontId="0" fillId="0" borderId="0" xfId="0" applyAlignment="1">
      <alignment vertical="top" wrapText="1"/>
    </xf>
    <xf numFmtId="39" fontId="63" fillId="0" borderId="0" xfId="0" applyFont="1" applyAlignment="1">
      <alignment vertical="top" wrapText="1"/>
    </xf>
    <xf numFmtId="182" fontId="0" fillId="0" borderId="0" xfId="0" applyNumberFormat="1" applyAlignment="1">
      <alignment vertical="top"/>
    </xf>
    <xf numFmtId="39" fontId="8" fillId="0" borderId="0" xfId="0" applyFont="1" applyAlignment="1">
      <alignment vertical="top" wrapText="1"/>
    </xf>
    <xf numFmtId="182" fontId="8" fillId="0" borderId="0" xfId="0" applyNumberFormat="1" applyFont="1" applyAlignment="1">
      <alignment vertical="top"/>
    </xf>
    <xf numFmtId="39" fontId="98" fillId="0" borderId="0" xfId="0" applyFont="1" applyAlignment="1">
      <alignment vertical="top"/>
    </xf>
    <xf numFmtId="0" fontId="1" fillId="0" borderId="0" xfId="20"/>
    <xf numFmtId="0" fontId="99" fillId="9" borderId="0" xfId="20" applyFont="1" applyFill="1" applyAlignment="1">
      <alignment horizontal="left"/>
    </xf>
    <xf numFmtId="0" fontId="100" fillId="9" borderId="0" xfId="20" applyFont="1" applyFill="1" applyAlignment="1">
      <alignment horizontal="center"/>
    </xf>
    <xf numFmtId="0" fontId="100" fillId="9" borderId="0" xfId="20" applyFont="1" applyFill="1" applyAlignment="1">
      <alignment horizontal="left"/>
    </xf>
    <xf numFmtId="0" fontId="1" fillId="19" borderId="0" xfId="20" applyFill="1" applyAlignment="1">
      <alignment horizontal="left"/>
    </xf>
    <xf numFmtId="14" fontId="1" fillId="19" borderId="0" xfId="20" applyNumberFormat="1" applyFill="1" applyAlignment="1">
      <alignment horizontal="left"/>
    </xf>
    <xf numFmtId="14" fontId="1" fillId="0" borderId="0" xfId="20" applyNumberFormat="1"/>
    <xf numFmtId="0" fontId="1" fillId="0" borderId="0" xfId="20" applyAlignment="1">
      <alignment vertical="center"/>
    </xf>
    <xf numFmtId="0" fontId="1" fillId="0" borderId="0" xfId="20" applyFont="1" applyBorder="1"/>
    <xf numFmtId="0" fontId="1" fillId="0" borderId="0" xfId="20" applyFont="1" applyBorder="1" applyAlignment="1">
      <alignment vertical="top"/>
    </xf>
    <xf numFmtId="0" fontId="1" fillId="0" borderId="0" xfId="20" applyFont="1" applyBorder="1" applyAlignment="1">
      <alignment horizontal="left" vertical="top" wrapText="1"/>
    </xf>
    <xf numFmtId="0" fontId="1" fillId="0" borderId="0" xfId="20" applyFont="1" applyBorder="1" applyAlignment="1"/>
    <xf numFmtId="0" fontId="101" fillId="0" borderId="0" xfId="20" applyFont="1" applyBorder="1" applyAlignment="1">
      <alignment vertical="center"/>
    </xf>
    <xf numFmtId="0" fontId="1" fillId="0" borderId="0" xfId="20" applyBorder="1"/>
    <xf numFmtId="0" fontId="1" fillId="0" borderId="0" xfId="20" applyBorder="1" applyAlignment="1">
      <alignment vertical="top"/>
    </xf>
    <xf numFmtId="0" fontId="1" fillId="0" borderId="0" xfId="20" applyBorder="1" applyAlignment="1">
      <alignment horizontal="left" vertical="top" wrapText="1"/>
    </xf>
    <xf numFmtId="0" fontId="1" fillId="0" borderId="0" xfId="20" applyBorder="1" applyAlignment="1"/>
    <xf numFmtId="39" fontId="1" fillId="20" borderId="0" xfId="20" applyNumberFormat="1" applyFill="1" applyAlignment="1">
      <alignment horizontal="left"/>
    </xf>
    <xf numFmtId="0" fontId="104" fillId="0" borderId="0" xfId="20" applyFont="1"/>
    <xf numFmtId="39" fontId="1" fillId="0" borderId="0" xfId="20" applyNumberFormat="1" applyFont="1" applyBorder="1"/>
    <xf numFmtId="183" fontId="36" fillId="16" borderId="2" xfId="0" applyNumberFormat="1" applyFont="1" applyFill="1" applyBorder="1" applyAlignment="1">
      <alignment horizontal="center"/>
    </xf>
    <xf numFmtId="1" fontId="80" fillId="0" borderId="0" xfId="0" applyNumberFormat="1" applyFont="1" applyAlignment="1">
      <alignment horizontal="center" vertical="top"/>
    </xf>
    <xf numFmtId="39" fontId="29" fillId="0" borderId="4" xfId="1" quotePrefix="1" applyNumberFormat="1" applyFont="1" applyFill="1" applyBorder="1" applyAlignment="1">
      <alignment horizontal="left"/>
    </xf>
    <xf numFmtId="39" fontId="37" fillId="0" borderId="0" xfId="1" quotePrefix="1" applyNumberFormat="1" applyFont="1" applyFill="1" applyBorder="1" applyAlignment="1">
      <alignment horizontal="center"/>
    </xf>
    <xf numFmtId="39" fontId="29" fillId="0" borderId="0" xfId="1" quotePrefix="1" applyNumberFormat="1" applyFont="1" applyFill="1" applyBorder="1" applyAlignment="1">
      <alignment horizontal="left"/>
    </xf>
    <xf numFmtId="39" fontId="80" fillId="0" borderId="0" xfId="0" applyFont="1" applyBorder="1"/>
    <xf numFmtId="39" fontId="106" fillId="0" borderId="0" xfId="0" applyFont="1"/>
    <xf numFmtId="14" fontId="106" fillId="0" borderId="0" xfId="0" quotePrefix="1" applyNumberFormat="1" applyFont="1"/>
    <xf numFmtId="39" fontId="107" fillId="13" borderId="0" xfId="0" applyFont="1" applyFill="1"/>
    <xf numFmtId="39" fontId="40" fillId="22" borderId="0" xfId="1" quotePrefix="1" applyNumberFormat="1" applyFont="1" applyFill="1" applyBorder="1" applyAlignment="1">
      <alignment horizontal="center"/>
    </xf>
    <xf numFmtId="39" fontId="80" fillId="22" borderId="0" xfId="0" applyFont="1" applyFill="1"/>
    <xf numFmtId="14" fontId="80" fillId="22" borderId="0" xfId="0" applyNumberFormat="1" applyFont="1" applyFill="1"/>
    <xf numFmtId="39" fontId="29" fillId="16" borderId="4" xfId="1" quotePrefix="1" applyNumberFormat="1" applyFont="1" applyFill="1" applyBorder="1" applyAlignment="1">
      <alignment horizontal="left"/>
    </xf>
    <xf numFmtId="39" fontId="81" fillId="0" borderId="0" xfId="0" applyFont="1" applyAlignment="1">
      <alignment horizontal="center"/>
    </xf>
    <xf numFmtId="39" fontId="46" fillId="0" borderId="0" xfId="0" applyNumberFormat="1" applyFont="1" applyFill="1" applyBorder="1" applyAlignment="1" applyProtection="1">
      <alignment horizontal="center"/>
    </xf>
    <xf numFmtId="0" fontId="46" fillId="0" borderId="111" xfId="0" applyNumberFormat="1" applyFont="1" applyFill="1" applyBorder="1" applyAlignment="1" applyProtection="1">
      <alignment horizontal="center"/>
    </xf>
    <xf numFmtId="39" fontId="46" fillId="0" borderId="0" xfId="0" applyNumberFormat="1" applyFont="1" applyFill="1" applyBorder="1" applyAlignment="1" applyProtection="1">
      <alignment horizontal="center" wrapText="1"/>
    </xf>
    <xf numFmtId="1" fontId="80" fillId="0" borderId="0" xfId="0" applyNumberFormat="1" applyFont="1" applyBorder="1" applyAlignment="1">
      <alignment horizontal="center" vertical="top"/>
    </xf>
    <xf numFmtId="39" fontId="46" fillId="0" borderId="47" xfId="0" applyNumberFormat="1" applyFont="1" applyFill="1" applyBorder="1" applyAlignment="1" applyProtection="1">
      <alignment horizontal="center"/>
    </xf>
    <xf numFmtId="39" fontId="46" fillId="0" borderId="20" xfId="0" applyNumberFormat="1" applyFont="1" applyFill="1" applyBorder="1" applyAlignment="1" applyProtection="1">
      <alignment horizontal="right"/>
    </xf>
    <xf numFmtId="0" fontId="46" fillId="0" borderId="56" xfId="0" applyNumberFormat="1" applyFont="1" applyFill="1" applyBorder="1" applyAlignment="1" applyProtection="1">
      <alignment horizontal="center"/>
    </xf>
    <xf numFmtId="0" fontId="46" fillId="0" borderId="20" xfId="0" applyNumberFormat="1" applyFont="1" applyFill="1" applyBorder="1" applyAlignment="1" applyProtection="1">
      <alignment horizontal="center"/>
    </xf>
    <xf numFmtId="0" fontId="29" fillId="0" borderId="66" xfId="8" applyFont="1" applyFill="1" applyBorder="1" applyAlignment="1">
      <alignment horizontal="right"/>
    </xf>
    <xf numFmtId="39" fontId="53" fillId="21" borderId="111" xfId="1" quotePrefix="1" applyNumberFormat="1" applyFont="1" applyFill="1" applyBorder="1" applyAlignment="1">
      <alignment horizontal="right"/>
    </xf>
    <xf numFmtId="39" fontId="110" fillId="23" borderId="111" xfId="21" quotePrefix="1" applyNumberFormat="1" applyFill="1" applyBorder="1" applyAlignment="1">
      <alignment horizontal="right"/>
    </xf>
    <xf numFmtId="39" fontId="108" fillId="15" borderId="111" xfId="1" quotePrefix="1" applyNumberFormat="1" applyFont="1" applyFill="1" applyBorder="1" applyAlignment="1">
      <alignment horizontal="right"/>
    </xf>
    <xf numFmtId="39" fontId="111" fillId="25" borderId="113" xfId="1" quotePrefix="1" applyNumberFormat="1" applyFont="1" applyFill="1" applyBorder="1" applyAlignment="1">
      <alignment horizontal="right"/>
    </xf>
    <xf numFmtId="39" fontId="80" fillId="15" borderId="110" xfId="0" applyFont="1" applyFill="1" applyBorder="1"/>
    <xf numFmtId="39" fontId="29" fillId="0" borderId="0" xfId="0" applyFont="1" applyFill="1" applyBorder="1" applyAlignment="1">
      <alignment horizontal="left"/>
    </xf>
    <xf numFmtId="39" fontId="29" fillId="0" borderId="0" xfId="1" applyNumberFormat="1" applyFont="1" applyFill="1" applyBorder="1" applyAlignment="1">
      <alignment horizontal="right"/>
    </xf>
    <xf numFmtId="39" fontId="108" fillId="0" borderId="0" xfId="1" applyNumberFormat="1" applyFont="1" applyFill="1" applyBorder="1" applyAlignment="1">
      <alignment horizontal="right"/>
    </xf>
    <xf numFmtId="39" fontId="81" fillId="0" borderId="0" xfId="1" applyNumberFormat="1" applyFont="1" applyFill="1" applyBorder="1" applyAlignment="1">
      <alignment horizontal="right"/>
    </xf>
    <xf numFmtId="39" fontId="29" fillId="0" borderId="114" xfId="0" applyFont="1" applyFill="1" applyBorder="1" applyAlignment="1">
      <alignment horizontal="right"/>
    </xf>
    <xf numFmtId="39" fontId="53" fillId="21" borderId="115" xfId="0" quotePrefix="1" applyFont="1" applyFill="1" applyBorder="1"/>
    <xf numFmtId="39" fontId="110" fillId="23" borderId="115" xfId="21" quotePrefix="1" applyNumberFormat="1" applyFill="1" applyBorder="1"/>
    <xf numFmtId="39" fontId="108" fillId="15" borderId="74" xfId="0" quotePrefix="1" applyFont="1" applyFill="1" applyBorder="1"/>
    <xf numFmtId="39" fontId="111" fillId="21" borderId="49" xfId="0" quotePrefix="1" applyFont="1" applyFill="1" applyBorder="1"/>
    <xf numFmtId="39" fontId="111" fillId="15" borderId="49" xfId="0" quotePrefix="1" applyFont="1" applyFill="1" applyBorder="1"/>
    <xf numFmtId="39" fontId="80" fillId="15" borderId="111" xfId="0" applyFont="1" applyFill="1" applyBorder="1"/>
    <xf numFmtId="39" fontId="29" fillId="0" borderId="69" xfId="0" applyFont="1" applyFill="1" applyBorder="1" applyAlignment="1">
      <alignment horizontal="right"/>
    </xf>
    <xf numFmtId="39" fontId="53" fillId="21" borderId="116" xfId="0" quotePrefix="1" applyFont="1" applyFill="1" applyBorder="1"/>
    <xf numFmtId="39" fontId="110" fillId="23" borderId="116" xfId="21" quotePrefix="1" applyNumberFormat="1" applyFill="1" applyBorder="1"/>
    <xf numFmtId="39" fontId="108" fillId="15" borderId="75" xfId="0" quotePrefix="1" applyFont="1" applyFill="1" applyBorder="1"/>
    <xf numFmtId="39" fontId="111" fillId="21" borderId="58" xfId="0" quotePrefix="1" applyFont="1" applyFill="1" applyBorder="1"/>
    <xf numFmtId="39" fontId="111" fillId="15" borderId="116" xfId="0" quotePrefix="1" applyFont="1" applyFill="1" applyBorder="1"/>
    <xf numFmtId="39" fontId="111" fillId="15" borderId="58" xfId="0" quotePrefix="1" applyFont="1" applyFill="1" applyBorder="1"/>
    <xf numFmtId="39" fontId="80" fillId="15" borderId="56" xfId="0" applyFont="1" applyFill="1" applyBorder="1"/>
    <xf numFmtId="39" fontId="29" fillId="0" borderId="70" xfId="0" applyFont="1" applyFill="1" applyBorder="1" applyAlignment="1">
      <alignment horizontal="right"/>
    </xf>
    <xf numFmtId="39" fontId="53" fillId="21" borderId="112" xfId="0" quotePrefix="1" applyFont="1" applyFill="1" applyBorder="1"/>
    <xf numFmtId="39" fontId="111" fillId="15" borderId="117" xfId="0" quotePrefix="1" applyFont="1" applyFill="1" applyBorder="1"/>
    <xf numFmtId="39" fontId="46" fillId="15" borderId="34" xfId="0" applyFont="1" applyFill="1" applyBorder="1" applyAlignment="1">
      <alignment horizontal="right"/>
    </xf>
    <xf numFmtId="39" fontId="29" fillId="15" borderId="34" xfId="0" applyFont="1" applyFill="1" applyBorder="1"/>
    <xf numFmtId="39" fontId="29" fillId="15" borderId="56" xfId="0" applyFont="1" applyFill="1" applyBorder="1"/>
    <xf numFmtId="39" fontId="29" fillId="15" borderId="111" xfId="0" applyFont="1" applyFill="1" applyBorder="1"/>
    <xf numFmtId="39" fontId="108" fillId="15" borderId="48" xfId="0" applyFont="1" applyFill="1" applyBorder="1"/>
    <xf numFmtId="39" fontId="81" fillId="15" borderId="61" xfId="0" applyFont="1" applyFill="1" applyBorder="1"/>
    <xf numFmtId="39" fontId="80" fillId="0" borderId="0" xfId="0" applyFont="1" applyFill="1" applyBorder="1"/>
    <xf numFmtId="39" fontId="81" fillId="0" borderId="0" xfId="0" applyFont="1" applyFill="1" applyBorder="1"/>
    <xf numFmtId="39" fontId="81" fillId="0" borderId="47" xfId="0" applyFont="1" applyFill="1" applyBorder="1"/>
    <xf numFmtId="39" fontId="80" fillId="26" borderId="0" xfId="0" applyFont="1" applyFill="1"/>
    <xf numFmtId="39" fontId="29" fillId="0" borderId="56" xfId="0" applyFont="1" applyFill="1" applyBorder="1" applyAlignment="1">
      <alignment horizontal="right" wrapText="1"/>
    </xf>
    <xf numFmtId="39" fontId="22" fillId="0" borderId="56" xfId="0" applyFont="1" applyFill="1" applyBorder="1" applyAlignment="1">
      <alignment horizontal="center" vertical="center" wrapText="1"/>
    </xf>
    <xf numFmtId="39" fontId="37" fillId="0" borderId="56" xfId="0" applyFont="1" applyFill="1" applyBorder="1" applyAlignment="1">
      <alignment horizontal="center" vertical="center" wrapText="1"/>
    </xf>
    <xf numFmtId="39" fontId="92" fillId="0" borderId="56" xfId="0" applyFont="1" applyFill="1" applyBorder="1" applyAlignment="1">
      <alignment horizontal="center" vertical="center" wrapText="1"/>
    </xf>
    <xf numFmtId="39" fontId="92" fillId="0" borderId="48" xfId="0" applyFont="1" applyFill="1" applyBorder="1" applyAlignment="1">
      <alignment horizontal="center" vertical="center" wrapText="1"/>
    </xf>
    <xf numFmtId="39" fontId="81" fillId="0" borderId="0" xfId="0" applyFont="1" applyFill="1" applyBorder="1" applyAlignment="1">
      <alignment horizontal="right" wrapText="1"/>
    </xf>
    <xf numFmtId="39" fontId="29" fillId="0" borderId="0" xfId="0" applyFont="1" applyFill="1" applyBorder="1" applyAlignment="1">
      <alignment horizontal="right" wrapText="1"/>
    </xf>
    <xf numFmtId="39" fontId="29" fillId="0" borderId="0" xfId="0" applyFont="1" applyFill="1" applyBorder="1" applyAlignment="1">
      <alignment horizontal="center" vertical="center" wrapText="1"/>
    </xf>
    <xf numFmtId="39" fontId="37" fillId="0" borderId="0" xfId="0" applyFont="1" applyFill="1" applyBorder="1" applyAlignment="1">
      <alignment horizontal="center" vertical="center" wrapText="1"/>
    </xf>
    <xf numFmtId="39" fontId="29" fillId="0" borderId="0" xfId="0" applyFont="1" applyFill="1" applyBorder="1" applyAlignment="1">
      <alignment horizontal="center" wrapText="1"/>
    </xf>
    <xf numFmtId="39" fontId="81" fillId="27" borderId="16" xfId="0" applyFont="1" applyFill="1" applyBorder="1"/>
    <xf numFmtId="39" fontId="81" fillId="0" borderId="64" xfId="0" applyFont="1" applyFill="1" applyBorder="1" applyAlignment="1">
      <alignment horizontal="right" wrapText="1"/>
    </xf>
    <xf numFmtId="39" fontId="80" fillId="0" borderId="0" xfId="0" applyFont="1" applyAlignment="1">
      <alignment horizontal="left" vertical="top" wrapText="1"/>
    </xf>
    <xf numFmtId="1" fontId="106" fillId="0" borderId="0" xfId="0" quotePrefix="1" applyNumberFormat="1" applyFont="1" applyAlignment="1">
      <alignment horizontal="center" vertical="top"/>
    </xf>
    <xf numFmtId="39" fontId="29" fillId="0" borderId="0" xfId="0" applyFont="1" applyFill="1" applyBorder="1" applyAlignment="1">
      <alignment horizontal="left" vertical="top" wrapText="1"/>
    </xf>
    <xf numFmtId="39" fontId="29" fillId="0" borderId="0" xfId="0" applyFont="1" applyFill="1" applyBorder="1" applyAlignment="1">
      <alignment vertical="top" wrapText="1"/>
    </xf>
    <xf numFmtId="39" fontId="81" fillId="0" borderId="0" xfId="0" applyFont="1" applyAlignment="1">
      <alignment vertical="top"/>
    </xf>
    <xf numFmtId="39" fontId="29" fillId="13" borderId="48" xfId="0" applyFont="1" applyFill="1" applyBorder="1" applyAlignment="1">
      <alignment horizontal="right" wrapText="1"/>
    </xf>
    <xf numFmtId="1" fontId="80" fillId="0" borderId="0" xfId="0" applyNumberFormat="1" applyFont="1" applyFill="1" applyAlignment="1">
      <alignment horizontal="center" vertical="top"/>
    </xf>
    <xf numFmtId="39" fontId="81" fillId="0" borderId="0" xfId="0" applyFont="1" applyAlignment="1">
      <alignment horizontal="left" vertical="top" wrapText="1"/>
    </xf>
    <xf numFmtId="39" fontId="80" fillId="0" borderId="0" xfId="0" applyFont="1" applyFill="1"/>
    <xf numFmtId="39" fontId="80" fillId="0" borderId="0" xfId="0" applyFont="1" applyFill="1" applyAlignment="1">
      <alignment horizontal="left" vertical="top" wrapText="1"/>
    </xf>
    <xf numFmtId="39" fontId="29" fillId="0" borderId="0" xfId="0" applyFont="1" applyFill="1" applyBorder="1" applyAlignment="1">
      <alignment horizontal="left" wrapText="1"/>
    </xf>
    <xf numFmtId="14" fontId="29" fillId="0" borderId="4" xfId="0" applyNumberFormat="1" applyFont="1" applyFill="1" applyBorder="1" applyAlignment="1">
      <alignment vertical="top" wrapText="1"/>
    </xf>
    <xf numFmtId="1" fontId="106" fillId="0" borderId="0" xfId="0" applyNumberFormat="1" applyFont="1" applyBorder="1" applyAlignment="1">
      <alignment horizontal="center" vertical="top"/>
    </xf>
    <xf numFmtId="39" fontId="81" fillId="0" borderId="0" xfId="0" applyFont="1" applyFill="1" applyBorder="1" applyAlignment="1">
      <alignment horizontal="left" vertical="top" wrapText="1"/>
    </xf>
    <xf numFmtId="39" fontId="81" fillId="0" borderId="0" xfId="0" applyFont="1" applyFill="1" applyBorder="1" applyAlignment="1">
      <alignment vertical="top" wrapText="1"/>
    </xf>
    <xf numFmtId="39" fontId="80" fillId="0" borderId="0" xfId="0" applyFont="1" applyBorder="1" applyAlignment="1">
      <alignment horizontal="left" vertical="center"/>
    </xf>
    <xf numFmtId="1" fontId="106" fillId="0" borderId="0" xfId="0" quotePrefix="1" applyNumberFormat="1" applyFont="1" applyBorder="1" applyAlignment="1">
      <alignment horizontal="center" vertical="top"/>
    </xf>
    <xf numFmtId="39" fontId="81" fillId="16" borderId="4" xfId="0" applyFont="1" applyFill="1" applyBorder="1" applyAlignment="1">
      <alignment horizontal="left" vertical="top" wrapText="1"/>
    </xf>
    <xf numFmtId="39" fontId="81" fillId="0" borderId="0" xfId="0" applyFont="1" applyBorder="1" applyAlignment="1">
      <alignment horizontal="left" vertical="center"/>
    </xf>
    <xf numFmtId="39" fontId="81" fillId="0" borderId="0" xfId="0" applyFont="1" applyFill="1" applyBorder="1" applyAlignment="1">
      <alignment horizontal="left" vertical="center"/>
    </xf>
    <xf numFmtId="39" fontId="80" fillId="0" borderId="0" xfId="0" applyFont="1" applyFill="1" applyBorder="1" applyAlignment="1">
      <alignment horizontal="left" vertical="center"/>
    </xf>
    <xf numFmtId="39" fontId="81" fillId="0" borderId="0" xfId="0" applyFont="1" applyAlignment="1">
      <alignment horizontal="left" vertical="center"/>
    </xf>
    <xf numFmtId="39" fontId="80" fillId="0" borderId="0" xfId="0" applyFont="1" applyAlignment="1">
      <alignment horizontal="left" vertical="center"/>
    </xf>
    <xf numFmtId="1" fontId="106" fillId="0" borderId="0" xfId="0" quotePrefix="1" applyNumberFormat="1" applyFont="1" applyFill="1" applyAlignment="1">
      <alignment horizontal="center" vertical="top"/>
    </xf>
    <xf numFmtId="39" fontId="81" fillId="0" borderId="0" xfId="0" applyFont="1" applyFill="1" applyAlignment="1">
      <alignment horizontal="left" vertical="center"/>
    </xf>
    <xf numFmtId="39" fontId="80" fillId="0" borderId="0" xfId="0" applyFont="1" applyFill="1" applyAlignment="1">
      <alignment horizontal="left" vertical="center"/>
    </xf>
    <xf numFmtId="39" fontId="81" fillId="16" borderId="4" xfId="0" applyFont="1" applyFill="1" applyBorder="1"/>
    <xf numFmtId="1" fontId="106" fillId="0" borderId="0" xfId="0" applyNumberFormat="1" applyFont="1" applyAlignment="1">
      <alignment horizontal="center" vertical="top"/>
    </xf>
    <xf numFmtId="39" fontId="81" fillId="0" borderId="11" xfId="0" applyFont="1" applyBorder="1"/>
    <xf numFmtId="39" fontId="80" fillId="0" borderId="8" xfId="0" applyFont="1" applyBorder="1"/>
    <xf numFmtId="39" fontId="81" fillId="0" borderId="8" xfId="0" applyFont="1" applyBorder="1"/>
    <xf numFmtId="39" fontId="81" fillId="0" borderId="12" xfId="0" applyFont="1" applyBorder="1"/>
    <xf numFmtId="39" fontId="81" fillId="0" borderId="13" xfId="0" applyFont="1" applyBorder="1"/>
    <xf numFmtId="39" fontId="81" fillId="0" borderId="0" xfId="0" applyFont="1" applyBorder="1"/>
    <xf numFmtId="39" fontId="81" fillId="0" borderId="14" xfId="0" applyFont="1" applyBorder="1"/>
    <xf numFmtId="39" fontId="81" fillId="0" borderId="13" xfId="0" applyFont="1" applyBorder="1" applyAlignment="1"/>
    <xf numFmtId="39" fontId="81" fillId="0" borderId="13" xfId="0" quotePrefix="1" applyFont="1" applyBorder="1" applyAlignment="1">
      <alignment vertical="top"/>
    </xf>
    <xf numFmtId="39" fontId="112" fillId="0" borderId="0" xfId="0" quotePrefix="1" applyFont="1" applyBorder="1" applyAlignment="1"/>
    <xf numFmtId="39" fontId="81" fillId="0" borderId="21" xfId="0" quotePrefix="1" applyFont="1" applyBorder="1" applyAlignment="1">
      <alignment vertical="top"/>
    </xf>
    <xf numFmtId="39" fontId="81" fillId="0" borderId="22" xfId="0" applyFont="1" applyBorder="1"/>
    <xf numFmtId="39" fontId="81" fillId="0" borderId="17" xfId="0" applyFont="1" applyBorder="1"/>
    <xf numFmtId="39" fontId="81" fillId="0" borderId="0" xfId="0" quotePrefix="1" applyFont="1" applyBorder="1" applyAlignment="1">
      <alignment vertical="top"/>
    </xf>
    <xf numFmtId="39" fontId="17" fillId="0" borderId="12" xfId="2" applyNumberFormat="1" applyBorder="1" applyAlignment="1" applyProtection="1"/>
    <xf numFmtId="39" fontId="81" fillId="0" borderId="21" xfId="0" applyFont="1" applyBorder="1"/>
    <xf numFmtId="39" fontId="0" fillId="0" borderId="22" xfId="0" applyBorder="1"/>
    <xf numFmtId="39" fontId="17" fillId="0" borderId="17" xfId="2" applyNumberFormat="1" applyBorder="1" applyAlignment="1" applyProtection="1"/>
    <xf numFmtId="39" fontId="113" fillId="0" borderId="0" xfId="0" applyFont="1"/>
    <xf numFmtId="39" fontId="80" fillId="0" borderId="0" xfId="0" applyFont="1" applyAlignment="1">
      <alignment wrapText="1"/>
    </xf>
    <xf numFmtId="39" fontId="80" fillId="9" borderId="0" xfId="0" applyFont="1" applyFill="1"/>
    <xf numFmtId="39" fontId="46" fillId="15" borderId="110" xfId="0" applyNumberFormat="1" applyFont="1" applyFill="1" applyBorder="1" applyAlignment="1" applyProtection="1">
      <alignment horizontal="center" vertical="center" wrapText="1"/>
    </xf>
    <xf numFmtId="39" fontId="46" fillId="15" borderId="112" xfId="0" applyNumberFormat="1" applyFont="1" applyFill="1" applyBorder="1" applyAlignment="1" applyProtection="1">
      <alignment horizontal="center" vertical="center" wrapText="1"/>
    </xf>
    <xf numFmtId="39" fontId="46" fillId="15" borderId="111" xfId="0" applyNumberFormat="1" applyFont="1" applyFill="1" applyBorder="1" applyAlignment="1" applyProtection="1">
      <alignment horizontal="center" vertical="center" wrapText="1"/>
    </xf>
    <xf numFmtId="39" fontId="46" fillId="0" borderId="0" xfId="0" applyNumberFormat="1" applyFont="1" applyFill="1" applyBorder="1" applyAlignment="1" applyProtection="1">
      <alignment horizontal="left" wrapText="1"/>
    </xf>
    <xf numFmtId="39" fontId="80" fillId="0" borderId="0" xfId="0" applyFont="1" applyAlignment="1">
      <alignment horizontal="left" vertical="top" wrapText="1"/>
    </xf>
    <xf numFmtId="39" fontId="105" fillId="21" borderId="5" xfId="1" quotePrefix="1" applyNumberFormat="1" applyFont="1" applyFill="1" applyBorder="1" applyAlignment="1">
      <alignment horizontal="left"/>
    </xf>
    <xf numFmtId="39" fontId="105" fillId="21" borderId="9" xfId="1" quotePrefix="1" applyNumberFormat="1" applyFont="1" applyFill="1" applyBorder="1" applyAlignment="1">
      <alignment horizontal="left"/>
    </xf>
    <xf numFmtId="39" fontId="29" fillId="15" borderId="5" xfId="1" quotePrefix="1" applyNumberFormat="1" applyFont="1" applyFill="1" applyBorder="1" applyAlignment="1">
      <alignment horizontal="left"/>
    </xf>
    <xf numFmtId="39" fontId="29" fillId="15" borderId="9" xfId="1" quotePrefix="1" applyNumberFormat="1" applyFont="1" applyFill="1" applyBorder="1" applyAlignment="1">
      <alignment horizontal="left"/>
    </xf>
    <xf numFmtId="39" fontId="29" fillId="23" borderId="5" xfId="0" applyFont="1" applyFill="1" applyBorder="1" applyAlignment="1">
      <alignment wrapText="1"/>
    </xf>
    <xf numFmtId="39" fontId="23" fillId="23" borderId="10" xfId="0" applyFont="1" applyFill="1" applyBorder="1" applyAlignment="1">
      <alignment wrapText="1"/>
    </xf>
    <xf numFmtId="39" fontId="46" fillId="0" borderId="110" xfId="0" applyNumberFormat="1" applyFont="1" applyFill="1" applyBorder="1" applyAlignment="1" applyProtection="1">
      <alignment horizontal="center" wrapText="1"/>
    </xf>
    <xf numFmtId="39" fontId="0" fillId="0" borderId="112" xfId="0" applyBorder="1" applyAlignment="1">
      <alignment horizontal="center" wrapText="1"/>
    </xf>
    <xf numFmtId="39" fontId="0" fillId="0" borderId="111" xfId="0" applyBorder="1" applyAlignment="1">
      <alignment horizontal="center" wrapText="1"/>
    </xf>
    <xf numFmtId="39" fontId="108" fillId="15" borderId="63" xfId="0" applyNumberFormat="1" applyFont="1" applyFill="1" applyBorder="1" applyAlignment="1" applyProtection="1">
      <alignment horizontal="center" vertical="center" wrapText="1"/>
    </xf>
    <xf numFmtId="39" fontId="108" fillId="15" borderId="70" xfId="0" applyNumberFormat="1" applyFont="1" applyFill="1" applyBorder="1" applyAlignment="1" applyProtection="1">
      <alignment horizontal="center" vertical="center" wrapText="1"/>
    </xf>
    <xf numFmtId="39" fontId="108" fillId="15" borderId="66" xfId="0" applyNumberFormat="1" applyFont="1" applyFill="1" applyBorder="1" applyAlignment="1" applyProtection="1">
      <alignment horizontal="center" vertical="center" wrapText="1"/>
    </xf>
    <xf numFmtId="0" fontId="108" fillId="0" borderId="64" xfId="0" applyNumberFormat="1" applyFont="1" applyFill="1" applyBorder="1" applyAlignment="1" applyProtection="1">
      <alignment horizontal="center" vertical="center" wrapText="1"/>
    </xf>
    <xf numFmtId="0" fontId="108" fillId="0" borderId="0" xfId="0" applyNumberFormat="1" applyFont="1" applyFill="1" applyBorder="1" applyAlignment="1" applyProtection="1">
      <alignment horizontal="center" vertical="center" wrapText="1"/>
    </xf>
    <xf numFmtId="0" fontId="108" fillId="0" borderId="47" xfId="0" applyNumberFormat="1" applyFont="1" applyFill="1" applyBorder="1" applyAlignment="1" applyProtection="1">
      <alignment horizontal="center" vertical="center" wrapText="1"/>
    </xf>
    <xf numFmtId="39" fontId="81" fillId="27" borderId="11" xfId="0" applyFont="1" applyFill="1" applyBorder="1" applyAlignment="1">
      <alignment horizontal="left" vertical="top" wrapText="1"/>
    </xf>
    <xf numFmtId="39" fontId="81" fillId="27" borderId="12" xfId="0" applyFont="1" applyFill="1" applyBorder="1" applyAlignment="1">
      <alignment horizontal="left" vertical="top" wrapText="1"/>
    </xf>
    <xf numFmtId="39" fontId="81" fillId="27" borderId="13" xfId="0" applyFont="1" applyFill="1" applyBorder="1" applyAlignment="1">
      <alignment horizontal="left" vertical="top" wrapText="1"/>
    </xf>
    <xf numFmtId="39" fontId="81" fillId="27" borderId="14" xfId="0" applyFont="1" applyFill="1" applyBorder="1" applyAlignment="1">
      <alignment horizontal="left" vertical="top" wrapText="1"/>
    </xf>
    <xf numFmtId="39" fontId="81" fillId="27" borderId="21" xfId="0" applyFont="1" applyFill="1" applyBorder="1" applyAlignment="1">
      <alignment horizontal="left" vertical="top" wrapText="1"/>
    </xf>
    <xf numFmtId="39" fontId="81" fillId="27" borderId="17" xfId="0" applyFont="1" applyFill="1" applyBorder="1" applyAlignment="1">
      <alignment horizontal="left" vertical="top" wrapText="1"/>
    </xf>
    <xf numFmtId="39" fontId="81" fillId="16" borderId="5" xfId="0" applyFont="1" applyFill="1" applyBorder="1" applyAlignment="1">
      <alignment horizontal="left" vertical="top" wrapText="1"/>
    </xf>
    <xf numFmtId="39" fontId="81" fillId="16" borderId="10" xfId="0" applyFont="1" applyFill="1" applyBorder="1" applyAlignment="1">
      <alignment horizontal="left" vertical="top" wrapText="1"/>
    </xf>
    <xf numFmtId="39" fontId="108" fillId="15" borderId="68" xfId="0" applyNumberFormat="1" applyFont="1" applyFill="1" applyBorder="1" applyAlignment="1" applyProtection="1">
      <alignment horizontal="center" vertical="center" wrapText="1"/>
    </xf>
    <xf numFmtId="39" fontId="108" fillId="15" borderId="72" xfId="0" applyNumberFormat="1" applyFont="1" applyFill="1" applyBorder="1" applyAlignment="1" applyProtection="1">
      <alignment horizontal="center" vertical="center" wrapText="1"/>
    </xf>
    <xf numFmtId="39" fontId="108" fillId="15" borderId="71" xfId="0" applyNumberFormat="1" applyFont="1" applyFill="1" applyBorder="1" applyAlignment="1" applyProtection="1">
      <alignment horizontal="center" vertical="center" wrapText="1"/>
    </xf>
    <xf numFmtId="39" fontId="29" fillId="0" borderId="5" xfId="0" applyFont="1" applyFill="1" applyBorder="1" applyAlignment="1">
      <alignment horizontal="left" vertical="top" wrapText="1"/>
    </xf>
    <xf numFmtId="39" fontId="29" fillId="0" borderId="9" xfId="0" applyFont="1" applyFill="1" applyBorder="1" applyAlignment="1">
      <alignment horizontal="left" vertical="top" wrapText="1"/>
    </xf>
    <xf numFmtId="39" fontId="29" fillId="0" borderId="10" xfId="0" applyFont="1" applyFill="1" applyBorder="1" applyAlignment="1">
      <alignment horizontal="left" vertical="top" wrapText="1"/>
    </xf>
    <xf numFmtId="39" fontId="29" fillId="13" borderId="20" xfId="0" applyFont="1" applyFill="1" applyBorder="1" applyAlignment="1">
      <alignment vertical="top" wrapText="1"/>
    </xf>
    <xf numFmtId="39" fontId="0" fillId="13" borderId="67" xfId="0" applyFill="1" applyBorder="1" applyAlignment="1">
      <alignment wrapText="1"/>
    </xf>
    <xf numFmtId="39" fontId="78" fillId="0" borderId="0" xfId="0" applyFont="1" applyFill="1" applyBorder="1" applyAlignment="1">
      <alignment horizontal="center" vertical="top" wrapText="1"/>
    </xf>
    <xf numFmtId="39" fontId="27" fillId="15" borderId="5" xfId="0" applyFont="1" applyFill="1" applyBorder="1" applyAlignment="1" applyProtection="1">
      <alignment horizontal="center"/>
    </xf>
    <xf numFmtId="39" fontId="27" fillId="15" borderId="9" xfId="0" applyFont="1" applyFill="1" applyBorder="1" applyAlignment="1" applyProtection="1">
      <alignment horizontal="center"/>
    </xf>
    <xf numFmtId="39" fontId="27" fillId="15" borderId="10" xfId="0" applyFont="1" applyFill="1" applyBorder="1" applyAlignment="1" applyProtection="1">
      <alignment horizontal="center"/>
    </xf>
    <xf numFmtId="39" fontId="79" fillId="14" borderId="0" xfId="0" applyFont="1" applyFill="1" applyAlignment="1">
      <alignment horizontal="center" vertical="center"/>
    </xf>
    <xf numFmtId="39" fontId="82" fillId="0" borderId="8" xfId="0" applyFont="1" applyFill="1" applyBorder="1" applyAlignment="1" applyProtection="1">
      <alignment horizontal="center" vertical="center"/>
    </xf>
    <xf numFmtId="39" fontId="82" fillId="0" borderId="69" xfId="0" applyNumberFormat="1" applyFont="1" applyFill="1" applyBorder="1" applyAlignment="1" applyProtection="1">
      <alignment horizontal="center" vertical="center"/>
    </xf>
    <xf numFmtId="39" fontId="82" fillId="0" borderId="9" xfId="0" applyNumberFormat="1" applyFont="1" applyFill="1" applyBorder="1" applyAlignment="1" applyProtection="1">
      <alignment horizontal="center" vertical="center"/>
    </xf>
    <xf numFmtId="39" fontId="82" fillId="0" borderId="75" xfId="0" applyNumberFormat="1" applyFont="1" applyFill="1" applyBorder="1" applyAlignment="1" applyProtection="1">
      <alignment horizontal="center" vertical="center"/>
    </xf>
    <xf numFmtId="39" fontId="27" fillId="15" borderId="4" xfId="0" applyNumberFormat="1" applyFont="1" applyFill="1" applyBorder="1" applyAlignment="1" applyProtection="1">
      <alignment horizontal="center"/>
    </xf>
    <xf numFmtId="39" fontId="31" fillId="0" borderId="0" xfId="0" applyFont="1" applyFill="1" applyAlignment="1">
      <alignment horizontal="center" vertical="center"/>
    </xf>
    <xf numFmtId="39" fontId="31" fillId="0" borderId="72" xfId="0" applyFont="1" applyFill="1" applyBorder="1" applyAlignment="1">
      <alignment horizontal="center" vertical="center"/>
    </xf>
    <xf numFmtId="0" fontId="27" fillId="16" borderId="13" xfId="8" applyFont="1" applyFill="1" applyBorder="1" applyAlignment="1">
      <alignment horizontal="right"/>
    </xf>
    <xf numFmtId="0" fontId="27" fillId="16" borderId="14" xfId="8" applyFont="1" applyFill="1" applyBorder="1" applyAlignment="1">
      <alignment horizontal="right"/>
    </xf>
    <xf numFmtId="39" fontId="0" fillId="16" borderId="14" xfId="0" applyFill="1" applyBorder="1" applyAlignment="1">
      <alignment horizontal="right"/>
    </xf>
    <xf numFmtId="39" fontId="23" fillId="16" borderId="5" xfId="0" applyFont="1" applyFill="1" applyBorder="1"/>
    <xf numFmtId="39" fontId="23" fillId="16" borderId="10" xfId="0" applyFont="1" applyFill="1" applyBorder="1"/>
    <xf numFmtId="0" fontId="27" fillId="16" borderId="21" xfId="8" applyFont="1" applyFill="1" applyBorder="1" applyAlignment="1">
      <alignment horizontal="right"/>
    </xf>
    <xf numFmtId="39" fontId="63" fillId="16" borderId="17" xfId="0" applyFont="1" applyFill="1" applyBorder="1" applyAlignment="1">
      <alignment horizontal="right"/>
    </xf>
    <xf numFmtId="39" fontId="27" fillId="15" borderId="4" xfId="0" applyFont="1" applyFill="1" applyBorder="1" applyAlignment="1" applyProtection="1">
      <alignment horizontal="center"/>
    </xf>
    <xf numFmtId="0" fontId="27" fillId="0" borderId="0" xfId="8" applyFont="1" applyFill="1" applyBorder="1" applyAlignment="1">
      <alignment horizontal="right"/>
    </xf>
    <xf numFmtId="39" fontId="63" fillId="0" borderId="0" xfId="0" applyFont="1" applyFill="1" applyBorder="1" applyAlignment="1">
      <alignment horizontal="right"/>
    </xf>
    <xf numFmtId="39" fontId="81" fillId="0" borderId="0" xfId="0" applyFont="1" applyAlignment="1" applyProtection="1">
      <alignment horizontal="center"/>
    </xf>
    <xf numFmtId="0" fontId="59" fillId="9" borderId="106" xfId="0" applyNumberFormat="1" applyFont="1" applyFill="1" applyBorder="1" applyAlignment="1" applyProtection="1">
      <alignment horizontal="left" wrapText="1"/>
    </xf>
    <xf numFmtId="0" fontId="59" fillId="9" borderId="8" xfId="0" applyNumberFormat="1" applyFont="1" applyFill="1" applyBorder="1" applyAlignment="1" applyProtection="1">
      <alignment horizontal="left" wrapText="1"/>
    </xf>
    <xf numFmtId="0" fontId="59" fillId="9" borderId="12" xfId="0" applyNumberFormat="1" applyFont="1" applyFill="1" applyBorder="1" applyAlignment="1" applyProtection="1">
      <alignment horizontal="left" wrapText="1"/>
    </xf>
    <xf numFmtId="0" fontId="59" fillId="9" borderId="40" xfId="0" applyNumberFormat="1" applyFont="1" applyFill="1" applyBorder="1" applyAlignment="1" applyProtection="1">
      <alignment horizontal="left" wrapText="1"/>
    </xf>
    <xf numFmtId="0" fontId="59" fillId="9" borderId="30" xfId="0" applyNumberFormat="1" applyFont="1" applyFill="1" applyBorder="1" applyAlignment="1" applyProtection="1">
      <alignment horizontal="left" wrapText="1"/>
    </xf>
    <xf numFmtId="0" fontId="59" fillId="9" borderId="46" xfId="0" applyNumberFormat="1" applyFont="1" applyFill="1" applyBorder="1" applyAlignment="1" applyProtection="1">
      <alignment horizontal="left" wrapText="1"/>
    </xf>
    <xf numFmtId="0" fontId="75" fillId="9" borderId="63" xfId="0" applyNumberFormat="1" applyFont="1" applyFill="1" applyBorder="1" applyAlignment="1">
      <alignment wrapText="1"/>
    </xf>
    <xf numFmtId="0" fontId="60" fillId="9" borderId="64" xfId="0" applyNumberFormat="1" applyFont="1" applyFill="1" applyBorder="1" applyAlignment="1">
      <alignment wrapText="1"/>
    </xf>
    <xf numFmtId="0" fontId="60" fillId="9" borderId="68" xfId="0" applyNumberFormat="1" applyFont="1" applyFill="1" applyBorder="1" applyAlignment="1">
      <alignment wrapText="1"/>
    </xf>
    <xf numFmtId="0" fontId="60" fillId="9" borderId="70" xfId="0" applyNumberFormat="1" applyFont="1" applyFill="1" applyBorder="1" applyAlignment="1">
      <alignment wrapText="1"/>
    </xf>
    <xf numFmtId="0" fontId="60" fillId="9" borderId="0" xfId="0" applyNumberFormat="1" applyFont="1" applyFill="1" applyBorder="1" applyAlignment="1">
      <alignment wrapText="1"/>
    </xf>
    <xf numFmtId="0" fontId="60" fillId="9" borderId="72" xfId="0" applyNumberFormat="1" applyFont="1" applyFill="1" applyBorder="1" applyAlignment="1">
      <alignment wrapText="1"/>
    </xf>
    <xf numFmtId="0" fontId="60" fillId="9" borderId="66" xfId="0" applyNumberFormat="1" applyFont="1" applyFill="1" applyBorder="1" applyAlignment="1">
      <alignment wrapText="1"/>
    </xf>
    <xf numFmtId="0" fontId="60" fillId="9" borderId="47" xfId="0" applyNumberFormat="1" applyFont="1" applyFill="1" applyBorder="1" applyAlignment="1">
      <alignment wrapText="1"/>
    </xf>
    <xf numFmtId="0" fontId="60" fillId="9" borderId="71" xfId="0" applyNumberFormat="1" applyFont="1" applyFill="1" applyBorder="1" applyAlignment="1">
      <alignment wrapText="1"/>
    </xf>
    <xf numFmtId="8" fontId="3" fillId="0" borderId="42" xfId="0" applyNumberFormat="1" applyFont="1" applyFill="1" applyBorder="1" applyAlignment="1" applyProtection="1">
      <alignment horizontal="right"/>
      <protection locked="0"/>
    </xf>
    <xf numFmtId="8" fontId="3" fillId="0" borderId="43" xfId="0" applyNumberFormat="1" applyFont="1" applyFill="1" applyBorder="1" applyAlignment="1" applyProtection="1">
      <alignment horizontal="right"/>
      <protection locked="0"/>
    </xf>
    <xf numFmtId="8" fontId="3" fillId="0" borderId="44" xfId="0" applyNumberFormat="1" applyFont="1" applyFill="1" applyBorder="1" applyAlignment="1" applyProtection="1">
      <alignment horizontal="right"/>
      <protection locked="0"/>
    </xf>
    <xf numFmtId="8" fontId="3" fillId="0" borderId="42" xfId="0" applyNumberFormat="1" applyFont="1" applyFill="1" applyBorder="1" applyAlignment="1" applyProtection="1">
      <alignment horizontal="right"/>
    </xf>
    <xf numFmtId="8" fontId="3" fillId="0" borderId="43" xfId="0" applyNumberFormat="1" applyFont="1" applyFill="1" applyBorder="1" applyAlignment="1" applyProtection="1">
      <alignment horizontal="right"/>
    </xf>
    <xf numFmtId="8" fontId="3" fillId="0" borderId="44" xfId="0" applyNumberFormat="1" applyFont="1" applyFill="1" applyBorder="1" applyAlignment="1" applyProtection="1">
      <alignment horizontal="right"/>
    </xf>
    <xf numFmtId="8" fontId="3" fillId="0" borderId="35" xfId="0" applyNumberFormat="1" applyFont="1" applyFill="1" applyBorder="1" applyAlignment="1" applyProtection="1">
      <alignment horizontal="right"/>
    </xf>
    <xf numFmtId="44" fontId="3" fillId="0" borderId="5" xfId="0" quotePrefix="1" applyNumberFormat="1" applyFont="1" applyFill="1" applyBorder="1" applyAlignment="1" applyProtection="1">
      <alignment horizontal="right"/>
    </xf>
    <xf numFmtId="44" fontId="3" fillId="0" borderId="9" xfId="0" quotePrefix="1" applyNumberFormat="1" applyFont="1" applyFill="1" applyBorder="1" applyAlignment="1" applyProtection="1">
      <alignment horizontal="right"/>
    </xf>
    <xf numFmtId="44" fontId="3" fillId="0" borderId="10" xfId="0" quotePrefix="1" applyNumberFormat="1" applyFont="1" applyFill="1" applyBorder="1" applyAlignment="1" applyProtection="1">
      <alignment horizontal="right"/>
    </xf>
    <xf numFmtId="14" fontId="3" fillId="9" borderId="30" xfId="0" applyNumberFormat="1" applyFont="1" applyFill="1" applyBorder="1" applyAlignment="1" applyProtection="1">
      <alignment horizontal="left"/>
    </xf>
    <xf numFmtId="44" fontId="3" fillId="0" borderId="4" xfId="0" quotePrefix="1" applyNumberFormat="1" applyFont="1" applyFill="1" applyBorder="1" applyProtection="1"/>
    <xf numFmtId="44" fontId="3" fillId="0" borderId="76" xfId="0" applyNumberFormat="1" applyFont="1" applyFill="1" applyBorder="1" applyProtection="1"/>
    <xf numFmtId="44" fontId="3" fillId="0" borderId="32" xfId="0" applyNumberFormat="1" applyFont="1" applyFill="1" applyBorder="1" applyProtection="1"/>
    <xf numFmtId="44" fontId="3" fillId="0" borderId="31" xfId="0" applyNumberFormat="1" applyFont="1" applyFill="1" applyBorder="1" applyProtection="1"/>
    <xf numFmtId="44" fontId="3" fillId="0" borderId="1" xfId="0" applyNumberFormat="1" applyFont="1" applyFill="1" applyBorder="1" applyAlignment="1" applyProtection="1"/>
    <xf numFmtId="44" fontId="3" fillId="0" borderId="5" xfId="0" applyNumberFormat="1" applyFont="1" applyFill="1" applyBorder="1" applyAlignment="1" applyProtection="1">
      <alignment horizontal="right"/>
    </xf>
    <xf numFmtId="44" fontId="3" fillId="0" borderId="9" xfId="0" applyNumberFormat="1" applyFont="1" applyFill="1" applyBorder="1" applyAlignment="1" applyProtection="1">
      <alignment horizontal="right"/>
    </xf>
    <xf numFmtId="44" fontId="3" fillId="0" borderId="10" xfId="0" applyNumberFormat="1" applyFont="1" applyFill="1" applyBorder="1" applyAlignment="1" applyProtection="1">
      <alignment horizontal="right"/>
    </xf>
    <xf numFmtId="44" fontId="3" fillId="0" borderId="76" xfId="0" quotePrefix="1" applyNumberFormat="1" applyFont="1" applyFill="1" applyBorder="1" applyAlignment="1" applyProtection="1">
      <alignment horizontal="right"/>
    </xf>
    <xf numFmtId="44" fontId="3" fillId="0" borderId="32" xfId="0" quotePrefix="1" applyNumberFormat="1" applyFont="1" applyFill="1" applyBorder="1" applyAlignment="1" applyProtection="1">
      <alignment horizontal="right"/>
    </xf>
    <xf numFmtId="44" fontId="3" fillId="0" borderId="31" xfId="0" quotePrefix="1" applyNumberFormat="1" applyFont="1" applyFill="1" applyBorder="1" applyAlignment="1" applyProtection="1">
      <alignment horizontal="right"/>
    </xf>
    <xf numFmtId="44" fontId="3" fillId="0" borderId="1" xfId="0" quotePrefix="1" applyNumberFormat="1" applyFont="1" applyFill="1" applyBorder="1" applyAlignment="1" applyProtection="1">
      <alignment horizontal="right"/>
    </xf>
    <xf numFmtId="0" fontId="58" fillId="0" borderId="0" xfId="0" applyNumberFormat="1" applyFont="1" applyFill="1" applyAlignment="1">
      <alignment horizontal="center"/>
    </xf>
    <xf numFmtId="0" fontId="3" fillId="0" borderId="0" xfId="0" applyNumberFormat="1" applyFont="1" applyFill="1" applyAlignment="1">
      <alignment horizontal="center"/>
    </xf>
    <xf numFmtId="0" fontId="3" fillId="0" borderId="38" xfId="0" quotePrefix="1" applyNumberFormat="1" applyFont="1" applyFill="1" applyBorder="1" applyAlignment="1" applyProtection="1">
      <alignment horizontal="center" vertical="center"/>
      <protection locked="0"/>
    </xf>
    <xf numFmtId="0" fontId="3" fillId="0" borderId="14" xfId="0" applyNumberFormat="1" applyFont="1" applyFill="1" applyBorder="1" applyAlignment="1" applyProtection="1">
      <alignment horizontal="center" vertical="center"/>
      <protection locked="0"/>
    </xf>
    <xf numFmtId="0" fontId="3" fillId="0" borderId="13" xfId="0" applyNumberFormat="1" applyFont="1" applyFill="1" applyBorder="1" applyAlignment="1" applyProtection="1">
      <alignment horizontal="center" vertical="center"/>
      <protection locked="0"/>
    </xf>
    <xf numFmtId="39" fontId="8" fillId="0" borderId="0" xfId="0" applyFont="1" applyFill="1" applyAlignment="1">
      <alignment horizontal="center" vertical="center"/>
    </xf>
    <xf numFmtId="39" fontId="8" fillId="0" borderId="14" xfId="0" applyFont="1" applyFill="1" applyBorder="1" applyAlignment="1">
      <alignment horizontal="center" vertical="center"/>
    </xf>
    <xf numFmtId="14" fontId="59" fillId="0" borderId="0" xfId="0" applyNumberFormat="1" applyFont="1" applyFill="1" applyAlignment="1">
      <alignment horizontal="center"/>
    </xf>
    <xf numFmtId="39" fontId="63" fillId="0" borderId="0" xfId="0" applyFont="1" applyFill="1" applyAlignment="1"/>
    <xf numFmtId="0" fontId="3" fillId="0" borderId="36" xfId="0" applyNumberFormat="1" applyFont="1" applyFill="1" applyBorder="1" applyAlignment="1">
      <alignment horizontal="center" vertical="center"/>
    </xf>
    <xf numFmtId="0" fontId="3" fillId="0" borderId="83" xfId="0" applyNumberFormat="1" applyFont="1" applyFill="1" applyBorder="1" applyAlignment="1">
      <alignment horizontal="center" vertical="center"/>
    </xf>
    <xf numFmtId="8" fontId="3" fillId="0" borderId="40" xfId="0" applyNumberFormat="1" applyFont="1" applyFill="1" applyBorder="1" applyAlignment="1" applyProtection="1">
      <alignment horizontal="right"/>
    </xf>
    <xf numFmtId="8" fontId="3" fillId="0" borderId="30" xfId="0" applyNumberFormat="1" applyFont="1" applyFill="1" applyBorder="1" applyAlignment="1" applyProtection="1">
      <alignment horizontal="right"/>
    </xf>
    <xf numFmtId="8" fontId="3" fillId="0" borderId="41" xfId="0" applyNumberFormat="1" applyFont="1" applyFill="1" applyBorder="1" applyAlignment="1" applyProtection="1">
      <alignment horizontal="right"/>
    </xf>
    <xf numFmtId="8" fontId="3" fillId="0" borderId="86" xfId="0" applyNumberFormat="1" applyFont="1" applyFill="1" applyBorder="1" applyAlignment="1" applyProtection="1">
      <alignment horizontal="right"/>
    </xf>
    <xf numFmtId="8" fontId="3" fillId="0" borderId="87" xfId="0" applyNumberFormat="1" applyFont="1" applyFill="1" applyBorder="1" applyAlignment="1" applyProtection="1">
      <alignment horizontal="right"/>
    </xf>
    <xf numFmtId="8" fontId="3" fillId="0" borderId="88" xfId="0" applyNumberFormat="1" applyFont="1" applyFill="1" applyBorder="1" applyAlignment="1" applyProtection="1">
      <alignment horizontal="right"/>
    </xf>
    <xf numFmtId="8" fontId="3" fillId="0" borderId="46" xfId="0" applyNumberFormat="1" applyFont="1" applyFill="1" applyBorder="1" applyAlignment="1" applyProtection="1">
      <alignment horizontal="right"/>
    </xf>
    <xf numFmtId="8" fontId="3" fillId="0" borderId="107" xfId="0" applyNumberFormat="1" applyFont="1" applyFill="1" applyBorder="1" applyAlignment="1" applyProtection="1">
      <alignment horizontal="right"/>
    </xf>
    <xf numFmtId="0" fontId="59" fillId="0" borderId="38" xfId="0" applyNumberFormat="1" applyFont="1" applyFill="1" applyBorder="1" applyAlignment="1" applyProtection="1">
      <alignment horizontal="center" vertical="center" wrapText="1"/>
      <protection locked="0"/>
    </xf>
    <xf numFmtId="0" fontId="59" fillId="0" borderId="0" xfId="0" applyNumberFormat="1" applyFont="1" applyFill="1" applyBorder="1" applyAlignment="1" applyProtection="1">
      <alignment horizontal="center" vertical="center" wrapText="1"/>
      <protection locked="0"/>
    </xf>
    <xf numFmtId="0" fontId="59" fillId="0" borderId="39" xfId="0" applyNumberFormat="1" applyFont="1" applyFill="1" applyBorder="1" applyAlignment="1" applyProtection="1">
      <alignment horizontal="center" vertical="center" wrapText="1"/>
      <protection locked="0"/>
    </xf>
    <xf numFmtId="0" fontId="59" fillId="0" borderId="40" xfId="0" applyNumberFormat="1" applyFont="1" applyFill="1" applyBorder="1" applyAlignment="1" applyProtection="1">
      <alignment horizontal="center" vertical="center" wrapText="1"/>
      <protection locked="0"/>
    </xf>
    <xf numFmtId="0" fontId="59" fillId="0" borderId="30" xfId="0" applyNumberFormat="1" applyFont="1" applyFill="1" applyBorder="1" applyAlignment="1" applyProtection="1">
      <alignment horizontal="center" vertical="center" wrapText="1"/>
      <protection locked="0"/>
    </xf>
    <xf numFmtId="0" fontId="59" fillId="0" borderId="41" xfId="0" applyNumberFormat="1" applyFont="1" applyFill="1" applyBorder="1" applyAlignment="1" applyProtection="1">
      <alignment horizontal="center" vertical="center" wrapText="1"/>
      <protection locked="0"/>
    </xf>
    <xf numFmtId="39" fontId="13" fillId="9" borderId="39" xfId="0" applyFont="1" applyFill="1" applyBorder="1" applyAlignment="1">
      <alignment horizontal="center" vertical="center" wrapText="1"/>
    </xf>
    <xf numFmtId="44" fontId="3" fillId="0" borderId="4" xfId="0" applyNumberFormat="1" applyFont="1" applyFill="1" applyBorder="1" applyAlignment="1" applyProtection="1">
      <alignment horizontal="right"/>
    </xf>
    <xf numFmtId="8" fontId="3" fillId="0" borderId="95" xfId="0" applyNumberFormat="1" applyFont="1" applyFill="1" applyBorder="1" applyAlignment="1" applyProtection="1">
      <alignment horizontal="right"/>
    </xf>
    <xf numFmtId="8" fontId="3" fillId="0" borderId="91" xfId="0" applyNumberFormat="1" applyFont="1" applyFill="1" applyBorder="1" applyAlignment="1" applyProtection="1">
      <alignment horizontal="right"/>
    </xf>
    <xf numFmtId="8" fontId="3" fillId="0" borderId="96" xfId="0" applyNumberFormat="1" applyFont="1" applyFill="1" applyBorder="1" applyAlignment="1" applyProtection="1">
      <alignment horizontal="right"/>
    </xf>
    <xf numFmtId="8" fontId="3" fillId="0" borderId="92" xfId="0" applyNumberFormat="1" applyFont="1" applyFill="1" applyBorder="1" applyAlignment="1" applyProtection="1">
      <alignment horizontal="right"/>
    </xf>
    <xf numFmtId="39" fontId="36" fillId="0" borderId="0" xfId="0" applyFont="1" applyAlignment="1">
      <alignment horizontal="left" vertical="top" wrapText="1"/>
    </xf>
    <xf numFmtId="39" fontId="44" fillId="0" borderId="0" xfId="0" applyFont="1" applyAlignment="1">
      <alignment horizontal="left" vertical="center" wrapText="1"/>
    </xf>
    <xf numFmtId="39" fontId="23" fillId="0" borderId="0" xfId="0" applyFont="1" applyAlignment="1">
      <alignment vertical="top" wrapText="1"/>
    </xf>
    <xf numFmtId="39" fontId="23" fillId="0" borderId="0" xfId="5" quotePrefix="1" applyFont="1" applyBorder="1" applyAlignment="1">
      <alignment vertical="top" wrapText="1"/>
    </xf>
    <xf numFmtId="39" fontId="23" fillId="0" borderId="0" xfId="0" quotePrefix="1" applyFont="1" applyBorder="1" applyAlignment="1">
      <alignment wrapText="1"/>
    </xf>
    <xf numFmtId="39" fontId="23" fillId="0" borderId="0" xfId="0" applyFont="1" applyBorder="1" applyAlignment="1">
      <alignment vertical="top" wrapText="1"/>
    </xf>
    <xf numFmtId="39" fontId="23" fillId="0" borderId="0" xfId="0" quotePrefix="1" applyFont="1" applyBorder="1" applyAlignment="1">
      <alignment vertical="top" wrapText="1"/>
    </xf>
    <xf numFmtId="2" fontId="23" fillId="0" borderId="0" xfId="0" applyNumberFormat="1" applyFont="1" applyBorder="1" applyAlignment="1">
      <alignment vertical="top" wrapText="1"/>
    </xf>
    <xf numFmtId="0" fontId="100" fillId="19" borderId="0" xfId="20" applyFont="1" applyFill="1" applyAlignment="1">
      <alignment horizontal="center"/>
    </xf>
    <xf numFmtId="0" fontId="102" fillId="18" borderId="0" xfId="20" applyFont="1" applyFill="1" applyBorder="1" applyAlignment="1">
      <alignment horizontal="center"/>
    </xf>
    <xf numFmtId="0" fontId="39" fillId="13" borderId="5" xfId="15" applyFont="1" applyFill="1" applyBorder="1" applyAlignment="1">
      <alignment horizontal="center"/>
    </xf>
    <xf numFmtId="0" fontId="39" fillId="13" borderId="9" xfId="15" applyFont="1" applyFill="1" applyBorder="1" applyAlignment="1">
      <alignment horizontal="center"/>
    </xf>
    <xf numFmtId="0" fontId="39" fillId="13" borderId="10" xfId="15" applyFont="1" applyFill="1" applyBorder="1" applyAlignment="1">
      <alignment horizontal="center"/>
    </xf>
    <xf numFmtId="0" fontId="38" fillId="0" borderId="5" xfId="15" applyFont="1" applyBorder="1" applyAlignment="1" applyProtection="1">
      <alignment horizontal="right" vertical="center"/>
      <protection locked="0"/>
    </xf>
    <xf numFmtId="0" fontId="38" fillId="0" borderId="9" xfId="15" applyFont="1" applyBorder="1" applyAlignment="1" applyProtection="1">
      <alignment horizontal="right" vertical="center"/>
      <protection locked="0"/>
    </xf>
    <xf numFmtId="0" fontId="38" fillId="0" borderId="10" xfId="15" applyFont="1" applyBorder="1" applyAlignment="1" applyProtection="1">
      <alignment horizontal="right" vertical="center"/>
      <protection locked="0"/>
    </xf>
  </cellXfs>
  <cellStyles count="22">
    <cellStyle name="60% - Accent6 2" xfId="21"/>
    <cellStyle name="Comma" xfId="1" builtinId="3"/>
    <cellStyle name="Hyperlink" xfId="2" builtinId="8"/>
    <cellStyle name="Normal" xfId="0" builtinId="0"/>
    <cellStyle name="Normal 2" xfId="3"/>
    <cellStyle name="Normal 2 2" xfId="4"/>
    <cellStyle name="Normal 3" xfId="5"/>
    <cellStyle name="Normal 4" xfId="19"/>
    <cellStyle name="Normal 5" xfId="20"/>
    <cellStyle name="Normal_CommonsFormatFSRWorksheet" xfId="6"/>
    <cellStyle name="Normal_def" xfId="7"/>
    <cellStyle name="Normal_DOWNLOAD (2)" xfId="8"/>
    <cellStyle name="Normal_idc adj" xfId="9"/>
    <cellStyle name="Normal_input" xfId="18"/>
    <cellStyle name="Normal_INPUT (2)" xfId="10"/>
    <cellStyle name="Normal_jv" xfId="11"/>
    <cellStyle name="Normal_REPORTproj2" xfId="12"/>
    <cellStyle name="Normal_SF269" xfId="13"/>
    <cellStyle name="Normal_SF269testingonly" xfId="14"/>
    <cellStyle name="Normal_Sheet2" xfId="15"/>
    <cellStyle name="Normal_to ar (2)" xfId="16"/>
    <cellStyle name="Percent" xfId="17" builtinId="5"/>
  </cellStyles>
  <dxfs count="9">
    <dxf>
      <font>
        <b/>
        <i val="0"/>
        <color rgb="FFFF0000"/>
      </font>
      <fill>
        <patternFill patternType="none">
          <bgColor auto="1"/>
        </patternFill>
      </fill>
    </dxf>
    <dxf>
      <font>
        <b/>
        <i/>
        <color rgb="FFFF0000"/>
      </font>
    </dxf>
    <dxf>
      <font>
        <b/>
        <i/>
        <color rgb="FFFF0000"/>
      </font>
    </dxf>
    <dxf>
      <font>
        <b/>
        <i/>
        <color rgb="FFFF0000"/>
      </font>
    </dxf>
    <dxf>
      <font>
        <b/>
        <i val="0"/>
        <color rgb="FFFF0000"/>
      </font>
    </dxf>
    <dxf>
      <font>
        <b/>
        <i val="0"/>
        <color rgb="FFFF0000"/>
      </font>
    </dxf>
    <dxf>
      <font>
        <b/>
        <i val="0"/>
        <color rgb="FF0000FF"/>
      </font>
    </dxf>
    <dxf>
      <font>
        <b/>
        <i val="0"/>
        <color rgb="FFFF0000"/>
      </font>
    </dxf>
    <dxf>
      <font>
        <b/>
        <i val="0"/>
        <color rgb="FFFF0000"/>
      </font>
    </dxf>
  </dxfs>
  <tableStyles count="0" defaultTableStyle="TableStyleMedium9" defaultPivotStyle="PivotStyleLight16"/>
  <colors>
    <mruColors>
      <color rgb="FF0000FF"/>
      <color rgb="FF009900"/>
      <color rgb="FFFFFF99"/>
      <color rgb="FFCC9CCC"/>
      <color rgb="FF624FAC"/>
      <color rgb="FFA0627A"/>
      <color rgb="FF2866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8</xdr:col>
      <xdr:colOff>23814</xdr:colOff>
      <xdr:row>7</xdr:row>
      <xdr:rowOff>35720</xdr:rowOff>
    </xdr:from>
    <xdr:to>
      <xdr:col>11</xdr:col>
      <xdr:colOff>250031</xdr:colOff>
      <xdr:row>15</xdr:row>
      <xdr:rowOff>35719</xdr:rowOff>
    </xdr:to>
    <xdr:sp macro="" textlink="">
      <xdr:nvSpPr>
        <xdr:cNvPr id="2" name="TextBox 1"/>
        <xdr:cNvSpPr txBox="1"/>
      </xdr:nvSpPr>
      <xdr:spPr>
        <a:xfrm>
          <a:off x="10989470" y="1535908"/>
          <a:ext cx="2726530" cy="158353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tx1"/>
              </a:solidFill>
            </a:rPr>
            <a:t>In</a:t>
          </a:r>
          <a:r>
            <a:rPr lang="en-US" sz="1400" b="1" baseline="0">
              <a:solidFill>
                <a:schemeClr val="tx1"/>
              </a:solidFill>
            </a:rPr>
            <a:t> GrantTracker</a:t>
          </a:r>
        </a:p>
        <a:p>
          <a:endParaRPr lang="en-US" sz="1100" baseline="0"/>
        </a:p>
        <a:p>
          <a:r>
            <a:rPr lang="en-US" sz="1100" b="1" baseline="0"/>
            <a:t>Assigned To: </a:t>
          </a:r>
          <a:r>
            <a:rPr lang="en-US" sz="1100" b="0" baseline="0"/>
            <a:t>Reporting</a:t>
          </a:r>
        </a:p>
        <a:p>
          <a:r>
            <a:rPr lang="en-US" sz="1100" b="1" baseline="0"/>
            <a:t>Summary: Final Financial Report</a:t>
          </a:r>
          <a:r>
            <a:rPr lang="en-US" sz="1100" b="0" baseline="0"/>
            <a:t> (OR)</a:t>
          </a:r>
        </a:p>
        <a:p>
          <a:r>
            <a:rPr lang="en-US" sz="1100" b="0" baseline="0"/>
            <a:t>                    Revised Financial Report</a:t>
          </a:r>
          <a:endParaRPr lang="en-US" sz="1100" baseline="0"/>
        </a:p>
        <a:p>
          <a:r>
            <a:rPr lang="en-US" sz="1100" b="1" baseline="0"/>
            <a:t>Topic: </a:t>
          </a:r>
          <a:r>
            <a:rPr lang="en-US" sz="1100" baseline="0"/>
            <a:t>Reporting</a:t>
          </a:r>
        </a:p>
        <a:p>
          <a:r>
            <a:rPr lang="en-US" sz="1100" b="1" baseline="0"/>
            <a:t>Status: </a:t>
          </a:r>
          <a:r>
            <a:rPr lang="en-US" sz="1100" baseline="0"/>
            <a:t>Completed</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bula2.washington.edu\uw\DENNIS\MASTER\jv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bula2.washington.edu\uw\groups\fin-mgmt\GCA\Office\BETA_LOCwSF425_CLS_Package_rev2009-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deshazo.homedir.nebula.washington.edu\homes\Projects\SF425_FFR\LOC_CLS_Package_rev2009-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s"/>
      <sheetName val="unexp bal"/>
      <sheetName val="unexp bal &amp; penny"/>
      <sheetName val="return to ar"/>
      <sheetName val="reverse"/>
      <sheetName val="attachment"/>
      <sheetName val="move"/>
      <sheetName val="idc adj"/>
      <sheetName val="close"/>
      <sheetName val="deficit"/>
      <sheetName val="Module1"/>
      <sheetName val="Module2"/>
      <sheetName val="Module3"/>
      <sheetName val="jvs"/>
    </sheetNames>
    <definedNames>
      <definedName name="print_idc_adj_jv"/>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fsr"/>
      <sheetName val="rec"/>
      <sheetName val="oo"/>
      <sheetName val="gabs"/>
      <sheetName val="letter"/>
      <sheetName val="idc"/>
      <sheetName val="Bal XFR jv"/>
      <sheetName val="RTN to AwdsRcvbl jv"/>
      <sheetName val="DEF XFR jv"/>
      <sheetName val="SF425-FFR"/>
      <sheetName val="SF425_IDC-Remarks-Attach"/>
      <sheetName val="SF269"/>
      <sheetName val="SF269A"/>
      <sheetName val="SF272"/>
      <sheetName val="272report"/>
      <sheetName val="NASA Letter"/>
      <sheetName val="grantor letter"/>
    </sheetNames>
    <sheetDataSet>
      <sheetData sheetId="0" refreshError="1">
        <row r="26">
          <cell r="D26" t="str">
            <v/>
          </cell>
          <cell r="J26" t="str">
            <v>Quarterly</v>
          </cell>
          <cell r="M26" t="str">
            <v>et</v>
          </cell>
          <cell r="O26" t="str">
            <v>Provisional</v>
          </cell>
        </row>
        <row r="27">
          <cell r="J27" t="str">
            <v>Semi-Annual</v>
          </cell>
          <cell r="M27" t="str">
            <v>fwd</v>
          </cell>
          <cell r="O27" t="str">
            <v>Predetermined</v>
          </cell>
        </row>
        <row r="28">
          <cell r="J28" t="str">
            <v>Annual</v>
          </cell>
          <cell r="O28" t="str">
            <v>Final</v>
          </cell>
        </row>
        <row r="29">
          <cell r="J29" t="str">
            <v>Final</v>
          </cell>
          <cell r="O29" t="str">
            <v>Fixed</v>
          </cell>
        </row>
        <row r="33">
          <cell r="J33" t="str">
            <v>Yes</v>
          </cell>
        </row>
        <row r="34">
          <cell r="J34" t="str">
            <v>No</v>
          </cell>
        </row>
        <row r="92">
          <cell r="O92" t="str">
            <v/>
          </cell>
        </row>
        <row r="93">
          <cell r="O93" t="str">
            <v/>
          </cell>
        </row>
        <row r="94">
          <cell r="O94" t="str">
            <v/>
          </cell>
        </row>
        <row r="95">
          <cell r="O95" t="str">
            <v/>
          </cell>
        </row>
        <row r="96">
          <cell r="O96" t="str">
            <v/>
          </cell>
        </row>
        <row r="97">
          <cell r="O97" t="str">
            <v/>
          </cell>
        </row>
        <row r="98">
          <cell r="O98" t="str">
            <v/>
          </cell>
        </row>
        <row r="99">
          <cell r="O99" t="str">
            <v/>
          </cell>
        </row>
        <row r="100">
          <cell r="O100" t="str">
            <v/>
          </cell>
        </row>
        <row r="113">
          <cell r="H113" t="str">
            <v/>
          </cell>
        </row>
        <row r="188">
          <cell r="E188">
            <v>0</v>
          </cell>
        </row>
        <row r="191">
          <cell r="E191">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31">
          <cell r="I31" t="e">
            <v>#VALUE!</v>
          </cell>
        </row>
        <row r="34">
          <cell r="I34">
            <v>0</v>
          </cell>
        </row>
      </sheetData>
      <sheetData sheetId="13" refreshError="1"/>
      <sheetData sheetId="14" refreshError="1"/>
      <sheetData sheetId="15" refreshError="1"/>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sh"/>
      <sheetName val="fsr"/>
      <sheetName val="rec"/>
      <sheetName val="oo"/>
      <sheetName val="gabs"/>
      <sheetName val="letter"/>
      <sheetName val="idc"/>
      <sheetName val="bt jv"/>
      <sheetName val="rtar jv"/>
      <sheetName val="dt jv"/>
      <sheetName val="SF425-FFR"/>
      <sheetName val="SF425-Attach"/>
      <sheetName val="SF269"/>
      <sheetName val="SF269A"/>
      <sheetName val="269Attach."/>
      <sheetName val="SF272"/>
      <sheetName val="272report"/>
      <sheetName val="NASA Letter"/>
      <sheetName val="grantor letter"/>
      <sheetName val="Module1"/>
    </sheetNames>
    <sheetDataSet>
      <sheetData sheetId="0" refreshError="1">
        <row r="25">
          <cell r="J25" t="str">
            <v>Quarterly</v>
          </cell>
        </row>
        <row r="26">
          <cell r="J26" t="str">
            <v>Semi-Annual</v>
          </cell>
        </row>
        <row r="27">
          <cell r="J27" t="str">
            <v>Annual</v>
          </cell>
        </row>
        <row r="28">
          <cell r="J28" t="str">
            <v>Final</v>
          </cell>
        </row>
        <row r="112">
          <cell r="D112">
            <v>0</v>
          </cell>
        </row>
        <row r="163">
          <cell r="E163">
            <v>0</v>
          </cell>
        </row>
        <row r="166">
          <cell r="E16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tvtran@u.washington.edu" TargetMode="External"/><Relationship Id="rId1" Type="http://schemas.openxmlformats.org/officeDocument/2006/relationships/hyperlink" Target="mailto:rge@uw.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gcahelp@uw.edu"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H145"/>
  <sheetViews>
    <sheetView showGridLines="0" topLeftCell="A7" zoomScale="90" zoomScaleNormal="90" workbookViewId="0">
      <selection activeCell="G36" sqref="G36"/>
    </sheetView>
  </sheetViews>
  <sheetFormatPr defaultRowHeight="14.4" outlineLevelCol="1"/>
  <cols>
    <col min="1" max="1" width="1.9140625" style="1151" customWidth="1"/>
    <col min="2" max="2" width="22.4140625" style="733" customWidth="1"/>
    <col min="3" max="3" width="14.33203125" style="733" customWidth="1"/>
    <col min="4" max="4" width="10.6640625" style="733" customWidth="1"/>
    <col min="5" max="5" width="11.6640625" style="733" customWidth="1"/>
    <col min="6" max="6" width="11.1640625" style="733" customWidth="1"/>
    <col min="7" max="7" width="10.6640625" style="733" customWidth="1"/>
    <col min="8" max="13" width="8.9140625" style="733" hidden="1" customWidth="1" outlineLevel="1"/>
    <col min="14" max="14" width="7.83203125" style="733" hidden="1" customWidth="1" outlineLevel="1"/>
    <col min="15" max="16" width="9" style="733" hidden="1" customWidth="1" outlineLevel="1"/>
    <col min="17" max="17" width="10.08203125" style="733" hidden="1" customWidth="1" outlineLevel="1"/>
    <col min="18" max="19" width="9" style="733" hidden="1" customWidth="1" outlineLevel="1"/>
    <col min="20" max="20" width="10.08203125" style="733" customWidth="1" collapsed="1"/>
    <col min="21" max="21" width="12.08203125" style="733" customWidth="1"/>
    <col min="22" max="22" width="10.6640625" style="733" customWidth="1"/>
    <col min="23" max="23" width="13.08203125" style="733" customWidth="1"/>
    <col min="24" max="24" width="10.6640625" style="733" customWidth="1"/>
    <col min="25" max="25" width="12.58203125" style="733" bestFit="1" customWidth="1"/>
    <col min="26" max="26" width="11.6640625" style="733" customWidth="1"/>
    <col min="27" max="27" width="10.83203125" style="733" hidden="1" customWidth="1"/>
    <col min="28" max="33" width="0" style="733" hidden="1" customWidth="1"/>
    <col min="34" max="34" width="9.9140625" style="733" bestFit="1" customWidth="1"/>
    <col min="35" max="256" width="8.83203125" style="733"/>
    <col min="257" max="257" width="1.9140625" style="733" customWidth="1"/>
    <col min="258" max="258" width="22.4140625" style="733" customWidth="1"/>
    <col min="259" max="259" width="14.33203125" style="733" customWidth="1"/>
    <col min="260" max="260" width="10.6640625" style="733" customWidth="1"/>
    <col min="261" max="261" width="11.6640625" style="733" customWidth="1"/>
    <col min="262" max="262" width="11.1640625" style="733" customWidth="1"/>
    <col min="263" max="263" width="10.6640625" style="733" customWidth="1"/>
    <col min="264" max="275" width="0" style="733" hidden="1" customWidth="1"/>
    <col min="276" max="276" width="10.08203125" style="733" customWidth="1"/>
    <col min="277" max="277" width="12.08203125" style="733" customWidth="1"/>
    <col min="278" max="278" width="10.6640625" style="733" customWidth="1"/>
    <col min="279" max="279" width="13.08203125" style="733" customWidth="1"/>
    <col min="280" max="280" width="10.6640625" style="733" customWidth="1"/>
    <col min="281" max="281" width="12.58203125" style="733" bestFit="1" customWidth="1"/>
    <col min="282" max="282" width="11.6640625" style="733" customWidth="1"/>
    <col min="283" max="289" width="0" style="733" hidden="1" customWidth="1"/>
    <col min="290" max="290" width="9.9140625" style="733" bestFit="1" customWidth="1"/>
    <col min="291" max="512" width="8.83203125" style="733"/>
    <col min="513" max="513" width="1.9140625" style="733" customWidth="1"/>
    <col min="514" max="514" width="22.4140625" style="733" customWidth="1"/>
    <col min="515" max="515" width="14.33203125" style="733" customWidth="1"/>
    <col min="516" max="516" width="10.6640625" style="733" customWidth="1"/>
    <col min="517" max="517" width="11.6640625" style="733" customWidth="1"/>
    <col min="518" max="518" width="11.1640625" style="733" customWidth="1"/>
    <col min="519" max="519" width="10.6640625" style="733" customWidth="1"/>
    <col min="520" max="531" width="0" style="733" hidden="1" customWidth="1"/>
    <col min="532" max="532" width="10.08203125" style="733" customWidth="1"/>
    <col min="533" max="533" width="12.08203125" style="733" customWidth="1"/>
    <col min="534" max="534" width="10.6640625" style="733" customWidth="1"/>
    <col min="535" max="535" width="13.08203125" style="733" customWidth="1"/>
    <col min="536" max="536" width="10.6640625" style="733" customWidth="1"/>
    <col min="537" max="537" width="12.58203125" style="733" bestFit="1" customWidth="1"/>
    <col min="538" max="538" width="11.6640625" style="733" customWidth="1"/>
    <col min="539" max="545" width="0" style="733" hidden="1" customWidth="1"/>
    <col min="546" max="546" width="9.9140625" style="733" bestFit="1" customWidth="1"/>
    <col min="547" max="768" width="8.83203125" style="733"/>
    <col min="769" max="769" width="1.9140625" style="733" customWidth="1"/>
    <col min="770" max="770" width="22.4140625" style="733" customWidth="1"/>
    <col min="771" max="771" width="14.33203125" style="733" customWidth="1"/>
    <col min="772" max="772" width="10.6640625" style="733" customWidth="1"/>
    <col min="773" max="773" width="11.6640625" style="733" customWidth="1"/>
    <col min="774" max="774" width="11.1640625" style="733" customWidth="1"/>
    <col min="775" max="775" width="10.6640625" style="733" customWidth="1"/>
    <col min="776" max="787" width="0" style="733" hidden="1" customWidth="1"/>
    <col min="788" max="788" width="10.08203125" style="733" customWidth="1"/>
    <col min="789" max="789" width="12.08203125" style="733" customWidth="1"/>
    <col min="790" max="790" width="10.6640625" style="733" customWidth="1"/>
    <col min="791" max="791" width="13.08203125" style="733" customWidth="1"/>
    <col min="792" max="792" width="10.6640625" style="733" customWidth="1"/>
    <col min="793" max="793" width="12.58203125" style="733" bestFit="1" customWidth="1"/>
    <col min="794" max="794" width="11.6640625" style="733" customWidth="1"/>
    <col min="795" max="801" width="0" style="733" hidden="1" customWidth="1"/>
    <col min="802" max="802" width="9.9140625" style="733" bestFit="1" customWidth="1"/>
    <col min="803" max="1024" width="8.83203125" style="733"/>
    <col min="1025" max="1025" width="1.9140625" style="733" customWidth="1"/>
    <col min="1026" max="1026" width="22.4140625" style="733" customWidth="1"/>
    <col min="1027" max="1027" width="14.33203125" style="733" customWidth="1"/>
    <col min="1028" max="1028" width="10.6640625" style="733" customWidth="1"/>
    <col min="1029" max="1029" width="11.6640625" style="733" customWidth="1"/>
    <col min="1030" max="1030" width="11.1640625" style="733" customWidth="1"/>
    <col min="1031" max="1031" width="10.6640625" style="733" customWidth="1"/>
    <col min="1032" max="1043" width="0" style="733" hidden="1" customWidth="1"/>
    <col min="1044" max="1044" width="10.08203125" style="733" customWidth="1"/>
    <col min="1045" max="1045" width="12.08203125" style="733" customWidth="1"/>
    <col min="1046" max="1046" width="10.6640625" style="733" customWidth="1"/>
    <col min="1047" max="1047" width="13.08203125" style="733" customWidth="1"/>
    <col min="1048" max="1048" width="10.6640625" style="733" customWidth="1"/>
    <col min="1049" max="1049" width="12.58203125" style="733" bestFit="1" customWidth="1"/>
    <col min="1050" max="1050" width="11.6640625" style="733" customWidth="1"/>
    <col min="1051" max="1057" width="0" style="733" hidden="1" customWidth="1"/>
    <col min="1058" max="1058" width="9.9140625" style="733" bestFit="1" customWidth="1"/>
    <col min="1059" max="1280" width="8.83203125" style="733"/>
    <col min="1281" max="1281" width="1.9140625" style="733" customWidth="1"/>
    <col min="1282" max="1282" width="22.4140625" style="733" customWidth="1"/>
    <col min="1283" max="1283" width="14.33203125" style="733" customWidth="1"/>
    <col min="1284" max="1284" width="10.6640625" style="733" customWidth="1"/>
    <col min="1285" max="1285" width="11.6640625" style="733" customWidth="1"/>
    <col min="1286" max="1286" width="11.1640625" style="733" customWidth="1"/>
    <col min="1287" max="1287" width="10.6640625" style="733" customWidth="1"/>
    <col min="1288" max="1299" width="0" style="733" hidden="1" customWidth="1"/>
    <col min="1300" max="1300" width="10.08203125" style="733" customWidth="1"/>
    <col min="1301" max="1301" width="12.08203125" style="733" customWidth="1"/>
    <col min="1302" max="1302" width="10.6640625" style="733" customWidth="1"/>
    <col min="1303" max="1303" width="13.08203125" style="733" customWidth="1"/>
    <col min="1304" max="1304" width="10.6640625" style="733" customWidth="1"/>
    <col min="1305" max="1305" width="12.58203125" style="733" bestFit="1" customWidth="1"/>
    <col min="1306" max="1306" width="11.6640625" style="733" customWidth="1"/>
    <col min="1307" max="1313" width="0" style="733" hidden="1" customWidth="1"/>
    <col min="1314" max="1314" width="9.9140625" style="733" bestFit="1" customWidth="1"/>
    <col min="1315" max="1536" width="8.83203125" style="733"/>
    <col min="1537" max="1537" width="1.9140625" style="733" customWidth="1"/>
    <col min="1538" max="1538" width="22.4140625" style="733" customWidth="1"/>
    <col min="1539" max="1539" width="14.33203125" style="733" customWidth="1"/>
    <col min="1540" max="1540" width="10.6640625" style="733" customWidth="1"/>
    <col min="1541" max="1541" width="11.6640625" style="733" customWidth="1"/>
    <col min="1542" max="1542" width="11.1640625" style="733" customWidth="1"/>
    <col min="1543" max="1543" width="10.6640625" style="733" customWidth="1"/>
    <col min="1544" max="1555" width="0" style="733" hidden="1" customWidth="1"/>
    <col min="1556" max="1556" width="10.08203125" style="733" customWidth="1"/>
    <col min="1557" max="1557" width="12.08203125" style="733" customWidth="1"/>
    <col min="1558" max="1558" width="10.6640625" style="733" customWidth="1"/>
    <col min="1559" max="1559" width="13.08203125" style="733" customWidth="1"/>
    <col min="1560" max="1560" width="10.6640625" style="733" customWidth="1"/>
    <col min="1561" max="1561" width="12.58203125" style="733" bestFit="1" customWidth="1"/>
    <col min="1562" max="1562" width="11.6640625" style="733" customWidth="1"/>
    <col min="1563" max="1569" width="0" style="733" hidden="1" customWidth="1"/>
    <col min="1570" max="1570" width="9.9140625" style="733" bestFit="1" customWidth="1"/>
    <col min="1571" max="1792" width="8.83203125" style="733"/>
    <col min="1793" max="1793" width="1.9140625" style="733" customWidth="1"/>
    <col min="1794" max="1794" width="22.4140625" style="733" customWidth="1"/>
    <col min="1795" max="1795" width="14.33203125" style="733" customWidth="1"/>
    <col min="1796" max="1796" width="10.6640625" style="733" customWidth="1"/>
    <col min="1797" max="1797" width="11.6640625" style="733" customWidth="1"/>
    <col min="1798" max="1798" width="11.1640625" style="733" customWidth="1"/>
    <col min="1799" max="1799" width="10.6640625" style="733" customWidth="1"/>
    <col min="1800" max="1811" width="0" style="733" hidden="1" customWidth="1"/>
    <col min="1812" max="1812" width="10.08203125" style="733" customWidth="1"/>
    <col min="1813" max="1813" width="12.08203125" style="733" customWidth="1"/>
    <col min="1814" max="1814" width="10.6640625" style="733" customWidth="1"/>
    <col min="1815" max="1815" width="13.08203125" style="733" customWidth="1"/>
    <col min="1816" max="1816" width="10.6640625" style="733" customWidth="1"/>
    <col min="1817" max="1817" width="12.58203125" style="733" bestFit="1" customWidth="1"/>
    <col min="1818" max="1818" width="11.6640625" style="733" customWidth="1"/>
    <col min="1819" max="1825" width="0" style="733" hidden="1" customWidth="1"/>
    <col min="1826" max="1826" width="9.9140625" style="733" bestFit="1" customWidth="1"/>
    <col min="1827" max="2048" width="8.83203125" style="733"/>
    <col min="2049" max="2049" width="1.9140625" style="733" customWidth="1"/>
    <col min="2050" max="2050" width="22.4140625" style="733" customWidth="1"/>
    <col min="2051" max="2051" width="14.33203125" style="733" customWidth="1"/>
    <col min="2052" max="2052" width="10.6640625" style="733" customWidth="1"/>
    <col min="2053" max="2053" width="11.6640625" style="733" customWidth="1"/>
    <col min="2054" max="2054" width="11.1640625" style="733" customWidth="1"/>
    <col min="2055" max="2055" width="10.6640625" style="733" customWidth="1"/>
    <col min="2056" max="2067" width="0" style="733" hidden="1" customWidth="1"/>
    <col min="2068" max="2068" width="10.08203125" style="733" customWidth="1"/>
    <col min="2069" max="2069" width="12.08203125" style="733" customWidth="1"/>
    <col min="2070" max="2070" width="10.6640625" style="733" customWidth="1"/>
    <col min="2071" max="2071" width="13.08203125" style="733" customWidth="1"/>
    <col min="2072" max="2072" width="10.6640625" style="733" customWidth="1"/>
    <col min="2073" max="2073" width="12.58203125" style="733" bestFit="1" customWidth="1"/>
    <col min="2074" max="2074" width="11.6640625" style="733" customWidth="1"/>
    <col min="2075" max="2081" width="0" style="733" hidden="1" customWidth="1"/>
    <col min="2082" max="2082" width="9.9140625" style="733" bestFit="1" customWidth="1"/>
    <col min="2083" max="2304" width="8.83203125" style="733"/>
    <col min="2305" max="2305" width="1.9140625" style="733" customWidth="1"/>
    <col min="2306" max="2306" width="22.4140625" style="733" customWidth="1"/>
    <col min="2307" max="2307" width="14.33203125" style="733" customWidth="1"/>
    <col min="2308" max="2308" width="10.6640625" style="733" customWidth="1"/>
    <col min="2309" max="2309" width="11.6640625" style="733" customWidth="1"/>
    <col min="2310" max="2310" width="11.1640625" style="733" customWidth="1"/>
    <col min="2311" max="2311" width="10.6640625" style="733" customWidth="1"/>
    <col min="2312" max="2323" width="0" style="733" hidden="1" customWidth="1"/>
    <col min="2324" max="2324" width="10.08203125" style="733" customWidth="1"/>
    <col min="2325" max="2325" width="12.08203125" style="733" customWidth="1"/>
    <col min="2326" max="2326" width="10.6640625" style="733" customWidth="1"/>
    <col min="2327" max="2327" width="13.08203125" style="733" customWidth="1"/>
    <col min="2328" max="2328" width="10.6640625" style="733" customWidth="1"/>
    <col min="2329" max="2329" width="12.58203125" style="733" bestFit="1" customWidth="1"/>
    <col min="2330" max="2330" width="11.6640625" style="733" customWidth="1"/>
    <col min="2331" max="2337" width="0" style="733" hidden="1" customWidth="1"/>
    <col min="2338" max="2338" width="9.9140625" style="733" bestFit="1" customWidth="1"/>
    <col min="2339" max="2560" width="8.83203125" style="733"/>
    <col min="2561" max="2561" width="1.9140625" style="733" customWidth="1"/>
    <col min="2562" max="2562" width="22.4140625" style="733" customWidth="1"/>
    <col min="2563" max="2563" width="14.33203125" style="733" customWidth="1"/>
    <col min="2564" max="2564" width="10.6640625" style="733" customWidth="1"/>
    <col min="2565" max="2565" width="11.6640625" style="733" customWidth="1"/>
    <col min="2566" max="2566" width="11.1640625" style="733" customWidth="1"/>
    <col min="2567" max="2567" width="10.6640625" style="733" customWidth="1"/>
    <col min="2568" max="2579" width="0" style="733" hidden="1" customWidth="1"/>
    <col min="2580" max="2580" width="10.08203125" style="733" customWidth="1"/>
    <col min="2581" max="2581" width="12.08203125" style="733" customWidth="1"/>
    <col min="2582" max="2582" width="10.6640625" style="733" customWidth="1"/>
    <col min="2583" max="2583" width="13.08203125" style="733" customWidth="1"/>
    <col min="2584" max="2584" width="10.6640625" style="733" customWidth="1"/>
    <col min="2585" max="2585" width="12.58203125" style="733" bestFit="1" customWidth="1"/>
    <col min="2586" max="2586" width="11.6640625" style="733" customWidth="1"/>
    <col min="2587" max="2593" width="0" style="733" hidden="1" customWidth="1"/>
    <col min="2594" max="2594" width="9.9140625" style="733" bestFit="1" customWidth="1"/>
    <col min="2595" max="2816" width="8.83203125" style="733"/>
    <col min="2817" max="2817" width="1.9140625" style="733" customWidth="1"/>
    <col min="2818" max="2818" width="22.4140625" style="733" customWidth="1"/>
    <col min="2819" max="2819" width="14.33203125" style="733" customWidth="1"/>
    <col min="2820" max="2820" width="10.6640625" style="733" customWidth="1"/>
    <col min="2821" max="2821" width="11.6640625" style="733" customWidth="1"/>
    <col min="2822" max="2822" width="11.1640625" style="733" customWidth="1"/>
    <col min="2823" max="2823" width="10.6640625" style="733" customWidth="1"/>
    <col min="2824" max="2835" width="0" style="733" hidden="1" customWidth="1"/>
    <col min="2836" max="2836" width="10.08203125" style="733" customWidth="1"/>
    <col min="2837" max="2837" width="12.08203125" style="733" customWidth="1"/>
    <col min="2838" max="2838" width="10.6640625" style="733" customWidth="1"/>
    <col min="2839" max="2839" width="13.08203125" style="733" customWidth="1"/>
    <col min="2840" max="2840" width="10.6640625" style="733" customWidth="1"/>
    <col min="2841" max="2841" width="12.58203125" style="733" bestFit="1" customWidth="1"/>
    <col min="2842" max="2842" width="11.6640625" style="733" customWidth="1"/>
    <col min="2843" max="2849" width="0" style="733" hidden="1" customWidth="1"/>
    <col min="2850" max="2850" width="9.9140625" style="733" bestFit="1" customWidth="1"/>
    <col min="2851" max="3072" width="8.83203125" style="733"/>
    <col min="3073" max="3073" width="1.9140625" style="733" customWidth="1"/>
    <col min="3074" max="3074" width="22.4140625" style="733" customWidth="1"/>
    <col min="3075" max="3075" width="14.33203125" style="733" customWidth="1"/>
    <col min="3076" max="3076" width="10.6640625" style="733" customWidth="1"/>
    <col min="3077" max="3077" width="11.6640625" style="733" customWidth="1"/>
    <col min="3078" max="3078" width="11.1640625" style="733" customWidth="1"/>
    <col min="3079" max="3079" width="10.6640625" style="733" customWidth="1"/>
    <col min="3080" max="3091" width="0" style="733" hidden="1" customWidth="1"/>
    <col min="3092" max="3092" width="10.08203125" style="733" customWidth="1"/>
    <col min="3093" max="3093" width="12.08203125" style="733" customWidth="1"/>
    <col min="3094" max="3094" width="10.6640625" style="733" customWidth="1"/>
    <col min="3095" max="3095" width="13.08203125" style="733" customWidth="1"/>
    <col min="3096" max="3096" width="10.6640625" style="733" customWidth="1"/>
    <col min="3097" max="3097" width="12.58203125" style="733" bestFit="1" customWidth="1"/>
    <col min="3098" max="3098" width="11.6640625" style="733" customWidth="1"/>
    <col min="3099" max="3105" width="0" style="733" hidden="1" customWidth="1"/>
    <col min="3106" max="3106" width="9.9140625" style="733" bestFit="1" customWidth="1"/>
    <col min="3107" max="3328" width="8.83203125" style="733"/>
    <col min="3329" max="3329" width="1.9140625" style="733" customWidth="1"/>
    <col min="3330" max="3330" width="22.4140625" style="733" customWidth="1"/>
    <col min="3331" max="3331" width="14.33203125" style="733" customWidth="1"/>
    <col min="3332" max="3332" width="10.6640625" style="733" customWidth="1"/>
    <col min="3333" max="3333" width="11.6640625" style="733" customWidth="1"/>
    <col min="3334" max="3334" width="11.1640625" style="733" customWidth="1"/>
    <col min="3335" max="3335" width="10.6640625" style="733" customWidth="1"/>
    <col min="3336" max="3347" width="0" style="733" hidden="1" customWidth="1"/>
    <col min="3348" max="3348" width="10.08203125" style="733" customWidth="1"/>
    <col min="3349" max="3349" width="12.08203125" style="733" customWidth="1"/>
    <col min="3350" max="3350" width="10.6640625" style="733" customWidth="1"/>
    <col min="3351" max="3351" width="13.08203125" style="733" customWidth="1"/>
    <col min="3352" max="3352" width="10.6640625" style="733" customWidth="1"/>
    <col min="3353" max="3353" width="12.58203125" style="733" bestFit="1" customWidth="1"/>
    <col min="3354" max="3354" width="11.6640625" style="733" customWidth="1"/>
    <col min="3355" max="3361" width="0" style="733" hidden="1" customWidth="1"/>
    <col min="3362" max="3362" width="9.9140625" style="733" bestFit="1" customWidth="1"/>
    <col min="3363" max="3584" width="8.83203125" style="733"/>
    <col min="3585" max="3585" width="1.9140625" style="733" customWidth="1"/>
    <col min="3586" max="3586" width="22.4140625" style="733" customWidth="1"/>
    <col min="3587" max="3587" width="14.33203125" style="733" customWidth="1"/>
    <col min="3588" max="3588" width="10.6640625" style="733" customWidth="1"/>
    <col min="3589" max="3589" width="11.6640625" style="733" customWidth="1"/>
    <col min="3590" max="3590" width="11.1640625" style="733" customWidth="1"/>
    <col min="3591" max="3591" width="10.6640625" style="733" customWidth="1"/>
    <col min="3592" max="3603" width="0" style="733" hidden="1" customWidth="1"/>
    <col min="3604" max="3604" width="10.08203125" style="733" customWidth="1"/>
    <col min="3605" max="3605" width="12.08203125" style="733" customWidth="1"/>
    <col min="3606" max="3606" width="10.6640625" style="733" customWidth="1"/>
    <col min="3607" max="3607" width="13.08203125" style="733" customWidth="1"/>
    <col min="3608" max="3608" width="10.6640625" style="733" customWidth="1"/>
    <col min="3609" max="3609" width="12.58203125" style="733" bestFit="1" customWidth="1"/>
    <col min="3610" max="3610" width="11.6640625" style="733" customWidth="1"/>
    <col min="3611" max="3617" width="0" style="733" hidden="1" customWidth="1"/>
    <col min="3618" max="3618" width="9.9140625" style="733" bestFit="1" customWidth="1"/>
    <col min="3619" max="3840" width="8.83203125" style="733"/>
    <col min="3841" max="3841" width="1.9140625" style="733" customWidth="1"/>
    <col min="3842" max="3842" width="22.4140625" style="733" customWidth="1"/>
    <col min="3843" max="3843" width="14.33203125" style="733" customWidth="1"/>
    <col min="3844" max="3844" width="10.6640625" style="733" customWidth="1"/>
    <col min="3845" max="3845" width="11.6640625" style="733" customWidth="1"/>
    <col min="3846" max="3846" width="11.1640625" style="733" customWidth="1"/>
    <col min="3847" max="3847" width="10.6640625" style="733" customWidth="1"/>
    <col min="3848" max="3859" width="0" style="733" hidden="1" customWidth="1"/>
    <col min="3860" max="3860" width="10.08203125" style="733" customWidth="1"/>
    <col min="3861" max="3861" width="12.08203125" style="733" customWidth="1"/>
    <col min="3862" max="3862" width="10.6640625" style="733" customWidth="1"/>
    <col min="3863" max="3863" width="13.08203125" style="733" customWidth="1"/>
    <col min="3864" max="3864" width="10.6640625" style="733" customWidth="1"/>
    <col min="3865" max="3865" width="12.58203125" style="733" bestFit="1" customWidth="1"/>
    <col min="3866" max="3866" width="11.6640625" style="733" customWidth="1"/>
    <col min="3867" max="3873" width="0" style="733" hidden="1" customWidth="1"/>
    <col min="3874" max="3874" width="9.9140625" style="733" bestFit="1" customWidth="1"/>
    <col min="3875" max="4096" width="8.83203125" style="733"/>
    <col min="4097" max="4097" width="1.9140625" style="733" customWidth="1"/>
    <col min="4098" max="4098" width="22.4140625" style="733" customWidth="1"/>
    <col min="4099" max="4099" width="14.33203125" style="733" customWidth="1"/>
    <col min="4100" max="4100" width="10.6640625" style="733" customWidth="1"/>
    <col min="4101" max="4101" width="11.6640625" style="733" customWidth="1"/>
    <col min="4102" max="4102" width="11.1640625" style="733" customWidth="1"/>
    <col min="4103" max="4103" width="10.6640625" style="733" customWidth="1"/>
    <col min="4104" max="4115" width="0" style="733" hidden="1" customWidth="1"/>
    <col min="4116" max="4116" width="10.08203125" style="733" customWidth="1"/>
    <col min="4117" max="4117" width="12.08203125" style="733" customWidth="1"/>
    <col min="4118" max="4118" width="10.6640625" style="733" customWidth="1"/>
    <col min="4119" max="4119" width="13.08203125" style="733" customWidth="1"/>
    <col min="4120" max="4120" width="10.6640625" style="733" customWidth="1"/>
    <col min="4121" max="4121" width="12.58203125" style="733" bestFit="1" customWidth="1"/>
    <col min="4122" max="4122" width="11.6640625" style="733" customWidth="1"/>
    <col min="4123" max="4129" width="0" style="733" hidden="1" customWidth="1"/>
    <col min="4130" max="4130" width="9.9140625" style="733" bestFit="1" customWidth="1"/>
    <col min="4131" max="4352" width="8.83203125" style="733"/>
    <col min="4353" max="4353" width="1.9140625" style="733" customWidth="1"/>
    <col min="4354" max="4354" width="22.4140625" style="733" customWidth="1"/>
    <col min="4355" max="4355" width="14.33203125" style="733" customWidth="1"/>
    <col min="4356" max="4356" width="10.6640625" style="733" customWidth="1"/>
    <col min="4357" max="4357" width="11.6640625" style="733" customWidth="1"/>
    <col min="4358" max="4358" width="11.1640625" style="733" customWidth="1"/>
    <col min="4359" max="4359" width="10.6640625" style="733" customWidth="1"/>
    <col min="4360" max="4371" width="0" style="733" hidden="1" customWidth="1"/>
    <col min="4372" max="4372" width="10.08203125" style="733" customWidth="1"/>
    <col min="4373" max="4373" width="12.08203125" style="733" customWidth="1"/>
    <col min="4374" max="4374" width="10.6640625" style="733" customWidth="1"/>
    <col min="4375" max="4375" width="13.08203125" style="733" customWidth="1"/>
    <col min="4376" max="4376" width="10.6640625" style="733" customWidth="1"/>
    <col min="4377" max="4377" width="12.58203125" style="733" bestFit="1" customWidth="1"/>
    <col min="4378" max="4378" width="11.6640625" style="733" customWidth="1"/>
    <col min="4379" max="4385" width="0" style="733" hidden="1" customWidth="1"/>
    <col min="4386" max="4386" width="9.9140625" style="733" bestFit="1" customWidth="1"/>
    <col min="4387" max="4608" width="8.83203125" style="733"/>
    <col min="4609" max="4609" width="1.9140625" style="733" customWidth="1"/>
    <col min="4610" max="4610" width="22.4140625" style="733" customWidth="1"/>
    <col min="4611" max="4611" width="14.33203125" style="733" customWidth="1"/>
    <col min="4612" max="4612" width="10.6640625" style="733" customWidth="1"/>
    <col min="4613" max="4613" width="11.6640625" style="733" customWidth="1"/>
    <col min="4614" max="4614" width="11.1640625" style="733" customWidth="1"/>
    <col min="4615" max="4615" width="10.6640625" style="733" customWidth="1"/>
    <col min="4616" max="4627" width="0" style="733" hidden="1" customWidth="1"/>
    <col min="4628" max="4628" width="10.08203125" style="733" customWidth="1"/>
    <col min="4629" max="4629" width="12.08203125" style="733" customWidth="1"/>
    <col min="4630" max="4630" width="10.6640625" style="733" customWidth="1"/>
    <col min="4631" max="4631" width="13.08203125" style="733" customWidth="1"/>
    <col min="4632" max="4632" width="10.6640625" style="733" customWidth="1"/>
    <col min="4633" max="4633" width="12.58203125" style="733" bestFit="1" customWidth="1"/>
    <col min="4634" max="4634" width="11.6640625" style="733" customWidth="1"/>
    <col min="4635" max="4641" width="0" style="733" hidden="1" customWidth="1"/>
    <col min="4642" max="4642" width="9.9140625" style="733" bestFit="1" customWidth="1"/>
    <col min="4643" max="4864" width="8.83203125" style="733"/>
    <col min="4865" max="4865" width="1.9140625" style="733" customWidth="1"/>
    <col min="4866" max="4866" width="22.4140625" style="733" customWidth="1"/>
    <col min="4867" max="4867" width="14.33203125" style="733" customWidth="1"/>
    <col min="4868" max="4868" width="10.6640625" style="733" customWidth="1"/>
    <col min="4869" max="4869" width="11.6640625" style="733" customWidth="1"/>
    <col min="4870" max="4870" width="11.1640625" style="733" customWidth="1"/>
    <col min="4871" max="4871" width="10.6640625" style="733" customWidth="1"/>
    <col min="4872" max="4883" width="0" style="733" hidden="1" customWidth="1"/>
    <col min="4884" max="4884" width="10.08203125" style="733" customWidth="1"/>
    <col min="4885" max="4885" width="12.08203125" style="733" customWidth="1"/>
    <col min="4886" max="4886" width="10.6640625" style="733" customWidth="1"/>
    <col min="4887" max="4887" width="13.08203125" style="733" customWidth="1"/>
    <col min="4888" max="4888" width="10.6640625" style="733" customWidth="1"/>
    <col min="4889" max="4889" width="12.58203125" style="733" bestFit="1" customWidth="1"/>
    <col min="4890" max="4890" width="11.6640625" style="733" customWidth="1"/>
    <col min="4891" max="4897" width="0" style="733" hidden="1" customWidth="1"/>
    <col min="4898" max="4898" width="9.9140625" style="733" bestFit="1" customWidth="1"/>
    <col min="4899" max="5120" width="8.83203125" style="733"/>
    <col min="5121" max="5121" width="1.9140625" style="733" customWidth="1"/>
    <col min="5122" max="5122" width="22.4140625" style="733" customWidth="1"/>
    <col min="5123" max="5123" width="14.33203125" style="733" customWidth="1"/>
    <col min="5124" max="5124" width="10.6640625" style="733" customWidth="1"/>
    <col min="5125" max="5125" width="11.6640625" style="733" customWidth="1"/>
    <col min="5126" max="5126" width="11.1640625" style="733" customWidth="1"/>
    <col min="5127" max="5127" width="10.6640625" style="733" customWidth="1"/>
    <col min="5128" max="5139" width="0" style="733" hidden="1" customWidth="1"/>
    <col min="5140" max="5140" width="10.08203125" style="733" customWidth="1"/>
    <col min="5141" max="5141" width="12.08203125" style="733" customWidth="1"/>
    <col min="5142" max="5142" width="10.6640625" style="733" customWidth="1"/>
    <col min="5143" max="5143" width="13.08203125" style="733" customWidth="1"/>
    <col min="5144" max="5144" width="10.6640625" style="733" customWidth="1"/>
    <col min="5145" max="5145" width="12.58203125" style="733" bestFit="1" customWidth="1"/>
    <col min="5146" max="5146" width="11.6640625" style="733" customWidth="1"/>
    <col min="5147" max="5153" width="0" style="733" hidden="1" customWidth="1"/>
    <col min="5154" max="5154" width="9.9140625" style="733" bestFit="1" customWidth="1"/>
    <col min="5155" max="5376" width="8.83203125" style="733"/>
    <col min="5377" max="5377" width="1.9140625" style="733" customWidth="1"/>
    <col min="5378" max="5378" width="22.4140625" style="733" customWidth="1"/>
    <col min="5379" max="5379" width="14.33203125" style="733" customWidth="1"/>
    <col min="5380" max="5380" width="10.6640625" style="733" customWidth="1"/>
    <col min="5381" max="5381" width="11.6640625" style="733" customWidth="1"/>
    <col min="5382" max="5382" width="11.1640625" style="733" customWidth="1"/>
    <col min="5383" max="5383" width="10.6640625" style="733" customWidth="1"/>
    <col min="5384" max="5395" width="0" style="733" hidden="1" customWidth="1"/>
    <col min="5396" max="5396" width="10.08203125" style="733" customWidth="1"/>
    <col min="5397" max="5397" width="12.08203125" style="733" customWidth="1"/>
    <col min="5398" max="5398" width="10.6640625" style="733" customWidth="1"/>
    <col min="5399" max="5399" width="13.08203125" style="733" customWidth="1"/>
    <col min="5400" max="5400" width="10.6640625" style="733" customWidth="1"/>
    <col min="5401" max="5401" width="12.58203125" style="733" bestFit="1" customWidth="1"/>
    <col min="5402" max="5402" width="11.6640625" style="733" customWidth="1"/>
    <col min="5403" max="5409" width="0" style="733" hidden="1" customWidth="1"/>
    <col min="5410" max="5410" width="9.9140625" style="733" bestFit="1" customWidth="1"/>
    <col min="5411" max="5632" width="8.83203125" style="733"/>
    <col min="5633" max="5633" width="1.9140625" style="733" customWidth="1"/>
    <col min="5634" max="5634" width="22.4140625" style="733" customWidth="1"/>
    <col min="5635" max="5635" width="14.33203125" style="733" customWidth="1"/>
    <col min="5636" max="5636" width="10.6640625" style="733" customWidth="1"/>
    <col min="5637" max="5637" width="11.6640625" style="733" customWidth="1"/>
    <col min="5638" max="5638" width="11.1640625" style="733" customWidth="1"/>
    <col min="5639" max="5639" width="10.6640625" style="733" customWidth="1"/>
    <col min="5640" max="5651" width="0" style="733" hidden="1" customWidth="1"/>
    <col min="5652" max="5652" width="10.08203125" style="733" customWidth="1"/>
    <col min="5653" max="5653" width="12.08203125" style="733" customWidth="1"/>
    <col min="5654" max="5654" width="10.6640625" style="733" customWidth="1"/>
    <col min="5655" max="5655" width="13.08203125" style="733" customWidth="1"/>
    <col min="5656" max="5656" width="10.6640625" style="733" customWidth="1"/>
    <col min="5657" max="5657" width="12.58203125" style="733" bestFit="1" customWidth="1"/>
    <col min="5658" max="5658" width="11.6640625" style="733" customWidth="1"/>
    <col min="5659" max="5665" width="0" style="733" hidden="1" customWidth="1"/>
    <col min="5666" max="5666" width="9.9140625" style="733" bestFit="1" customWidth="1"/>
    <col min="5667" max="5888" width="8.83203125" style="733"/>
    <col min="5889" max="5889" width="1.9140625" style="733" customWidth="1"/>
    <col min="5890" max="5890" width="22.4140625" style="733" customWidth="1"/>
    <col min="5891" max="5891" width="14.33203125" style="733" customWidth="1"/>
    <col min="5892" max="5892" width="10.6640625" style="733" customWidth="1"/>
    <col min="5893" max="5893" width="11.6640625" style="733" customWidth="1"/>
    <col min="5894" max="5894" width="11.1640625" style="733" customWidth="1"/>
    <col min="5895" max="5895" width="10.6640625" style="733" customWidth="1"/>
    <col min="5896" max="5907" width="0" style="733" hidden="1" customWidth="1"/>
    <col min="5908" max="5908" width="10.08203125" style="733" customWidth="1"/>
    <col min="5909" max="5909" width="12.08203125" style="733" customWidth="1"/>
    <col min="5910" max="5910" width="10.6640625" style="733" customWidth="1"/>
    <col min="5911" max="5911" width="13.08203125" style="733" customWidth="1"/>
    <col min="5912" max="5912" width="10.6640625" style="733" customWidth="1"/>
    <col min="5913" max="5913" width="12.58203125" style="733" bestFit="1" customWidth="1"/>
    <col min="5914" max="5914" width="11.6640625" style="733" customWidth="1"/>
    <col min="5915" max="5921" width="0" style="733" hidden="1" customWidth="1"/>
    <col min="5922" max="5922" width="9.9140625" style="733" bestFit="1" customWidth="1"/>
    <col min="5923" max="6144" width="8.83203125" style="733"/>
    <col min="6145" max="6145" width="1.9140625" style="733" customWidth="1"/>
    <col min="6146" max="6146" width="22.4140625" style="733" customWidth="1"/>
    <col min="6147" max="6147" width="14.33203125" style="733" customWidth="1"/>
    <col min="6148" max="6148" width="10.6640625" style="733" customWidth="1"/>
    <col min="6149" max="6149" width="11.6640625" style="733" customWidth="1"/>
    <col min="6150" max="6150" width="11.1640625" style="733" customWidth="1"/>
    <col min="6151" max="6151" width="10.6640625" style="733" customWidth="1"/>
    <col min="6152" max="6163" width="0" style="733" hidden="1" customWidth="1"/>
    <col min="6164" max="6164" width="10.08203125" style="733" customWidth="1"/>
    <col min="6165" max="6165" width="12.08203125" style="733" customWidth="1"/>
    <col min="6166" max="6166" width="10.6640625" style="733" customWidth="1"/>
    <col min="6167" max="6167" width="13.08203125" style="733" customWidth="1"/>
    <col min="6168" max="6168" width="10.6640625" style="733" customWidth="1"/>
    <col min="6169" max="6169" width="12.58203125" style="733" bestFit="1" customWidth="1"/>
    <col min="6170" max="6170" width="11.6640625" style="733" customWidth="1"/>
    <col min="6171" max="6177" width="0" style="733" hidden="1" customWidth="1"/>
    <col min="6178" max="6178" width="9.9140625" style="733" bestFit="1" customWidth="1"/>
    <col min="6179" max="6400" width="8.83203125" style="733"/>
    <col min="6401" max="6401" width="1.9140625" style="733" customWidth="1"/>
    <col min="6402" max="6402" width="22.4140625" style="733" customWidth="1"/>
    <col min="6403" max="6403" width="14.33203125" style="733" customWidth="1"/>
    <col min="6404" max="6404" width="10.6640625" style="733" customWidth="1"/>
    <col min="6405" max="6405" width="11.6640625" style="733" customWidth="1"/>
    <col min="6406" max="6406" width="11.1640625" style="733" customWidth="1"/>
    <col min="6407" max="6407" width="10.6640625" style="733" customWidth="1"/>
    <col min="6408" max="6419" width="0" style="733" hidden="1" customWidth="1"/>
    <col min="6420" max="6420" width="10.08203125" style="733" customWidth="1"/>
    <col min="6421" max="6421" width="12.08203125" style="733" customWidth="1"/>
    <col min="6422" max="6422" width="10.6640625" style="733" customWidth="1"/>
    <col min="6423" max="6423" width="13.08203125" style="733" customWidth="1"/>
    <col min="6424" max="6424" width="10.6640625" style="733" customWidth="1"/>
    <col min="6425" max="6425" width="12.58203125" style="733" bestFit="1" customWidth="1"/>
    <col min="6426" max="6426" width="11.6640625" style="733" customWidth="1"/>
    <col min="6427" max="6433" width="0" style="733" hidden="1" customWidth="1"/>
    <col min="6434" max="6434" width="9.9140625" style="733" bestFit="1" customWidth="1"/>
    <col min="6435" max="6656" width="8.83203125" style="733"/>
    <col min="6657" max="6657" width="1.9140625" style="733" customWidth="1"/>
    <col min="6658" max="6658" width="22.4140625" style="733" customWidth="1"/>
    <col min="6659" max="6659" width="14.33203125" style="733" customWidth="1"/>
    <col min="6660" max="6660" width="10.6640625" style="733" customWidth="1"/>
    <col min="6661" max="6661" width="11.6640625" style="733" customWidth="1"/>
    <col min="6662" max="6662" width="11.1640625" style="733" customWidth="1"/>
    <col min="6663" max="6663" width="10.6640625" style="733" customWidth="1"/>
    <col min="6664" max="6675" width="0" style="733" hidden="1" customWidth="1"/>
    <col min="6676" max="6676" width="10.08203125" style="733" customWidth="1"/>
    <col min="6677" max="6677" width="12.08203125" style="733" customWidth="1"/>
    <col min="6678" max="6678" width="10.6640625" style="733" customWidth="1"/>
    <col min="6679" max="6679" width="13.08203125" style="733" customWidth="1"/>
    <col min="6680" max="6680" width="10.6640625" style="733" customWidth="1"/>
    <col min="6681" max="6681" width="12.58203125" style="733" bestFit="1" customWidth="1"/>
    <col min="6682" max="6682" width="11.6640625" style="733" customWidth="1"/>
    <col min="6683" max="6689" width="0" style="733" hidden="1" customWidth="1"/>
    <col min="6690" max="6690" width="9.9140625" style="733" bestFit="1" customWidth="1"/>
    <col min="6691" max="6912" width="8.83203125" style="733"/>
    <col min="6913" max="6913" width="1.9140625" style="733" customWidth="1"/>
    <col min="6914" max="6914" width="22.4140625" style="733" customWidth="1"/>
    <col min="6915" max="6915" width="14.33203125" style="733" customWidth="1"/>
    <col min="6916" max="6916" width="10.6640625" style="733" customWidth="1"/>
    <col min="6917" max="6917" width="11.6640625" style="733" customWidth="1"/>
    <col min="6918" max="6918" width="11.1640625" style="733" customWidth="1"/>
    <col min="6919" max="6919" width="10.6640625" style="733" customWidth="1"/>
    <col min="6920" max="6931" width="0" style="733" hidden="1" customWidth="1"/>
    <col min="6932" max="6932" width="10.08203125" style="733" customWidth="1"/>
    <col min="6933" max="6933" width="12.08203125" style="733" customWidth="1"/>
    <col min="6934" max="6934" width="10.6640625" style="733" customWidth="1"/>
    <col min="6935" max="6935" width="13.08203125" style="733" customWidth="1"/>
    <col min="6936" max="6936" width="10.6640625" style="733" customWidth="1"/>
    <col min="6937" max="6937" width="12.58203125" style="733" bestFit="1" customWidth="1"/>
    <col min="6938" max="6938" width="11.6640625" style="733" customWidth="1"/>
    <col min="6939" max="6945" width="0" style="733" hidden="1" customWidth="1"/>
    <col min="6946" max="6946" width="9.9140625" style="733" bestFit="1" customWidth="1"/>
    <col min="6947" max="7168" width="8.83203125" style="733"/>
    <col min="7169" max="7169" width="1.9140625" style="733" customWidth="1"/>
    <col min="7170" max="7170" width="22.4140625" style="733" customWidth="1"/>
    <col min="7171" max="7171" width="14.33203125" style="733" customWidth="1"/>
    <col min="7172" max="7172" width="10.6640625" style="733" customWidth="1"/>
    <col min="7173" max="7173" width="11.6640625" style="733" customWidth="1"/>
    <col min="7174" max="7174" width="11.1640625" style="733" customWidth="1"/>
    <col min="7175" max="7175" width="10.6640625" style="733" customWidth="1"/>
    <col min="7176" max="7187" width="0" style="733" hidden="1" customWidth="1"/>
    <col min="7188" max="7188" width="10.08203125" style="733" customWidth="1"/>
    <col min="7189" max="7189" width="12.08203125" style="733" customWidth="1"/>
    <col min="7190" max="7190" width="10.6640625" style="733" customWidth="1"/>
    <col min="7191" max="7191" width="13.08203125" style="733" customWidth="1"/>
    <col min="7192" max="7192" width="10.6640625" style="733" customWidth="1"/>
    <col min="7193" max="7193" width="12.58203125" style="733" bestFit="1" customWidth="1"/>
    <col min="7194" max="7194" width="11.6640625" style="733" customWidth="1"/>
    <col min="7195" max="7201" width="0" style="733" hidden="1" customWidth="1"/>
    <col min="7202" max="7202" width="9.9140625" style="733" bestFit="1" customWidth="1"/>
    <col min="7203" max="7424" width="8.83203125" style="733"/>
    <col min="7425" max="7425" width="1.9140625" style="733" customWidth="1"/>
    <col min="7426" max="7426" width="22.4140625" style="733" customWidth="1"/>
    <col min="7427" max="7427" width="14.33203125" style="733" customWidth="1"/>
    <col min="7428" max="7428" width="10.6640625" style="733" customWidth="1"/>
    <col min="7429" max="7429" width="11.6640625" style="733" customWidth="1"/>
    <col min="7430" max="7430" width="11.1640625" style="733" customWidth="1"/>
    <col min="7431" max="7431" width="10.6640625" style="733" customWidth="1"/>
    <col min="7432" max="7443" width="0" style="733" hidden="1" customWidth="1"/>
    <col min="7444" max="7444" width="10.08203125" style="733" customWidth="1"/>
    <col min="7445" max="7445" width="12.08203125" style="733" customWidth="1"/>
    <col min="7446" max="7446" width="10.6640625" style="733" customWidth="1"/>
    <col min="7447" max="7447" width="13.08203125" style="733" customWidth="1"/>
    <col min="7448" max="7448" width="10.6640625" style="733" customWidth="1"/>
    <col min="7449" max="7449" width="12.58203125" style="733" bestFit="1" customWidth="1"/>
    <col min="7450" max="7450" width="11.6640625" style="733" customWidth="1"/>
    <col min="7451" max="7457" width="0" style="733" hidden="1" customWidth="1"/>
    <col min="7458" max="7458" width="9.9140625" style="733" bestFit="1" customWidth="1"/>
    <col min="7459" max="7680" width="8.83203125" style="733"/>
    <col min="7681" max="7681" width="1.9140625" style="733" customWidth="1"/>
    <col min="7682" max="7682" width="22.4140625" style="733" customWidth="1"/>
    <col min="7683" max="7683" width="14.33203125" style="733" customWidth="1"/>
    <col min="7684" max="7684" width="10.6640625" style="733" customWidth="1"/>
    <col min="7685" max="7685" width="11.6640625" style="733" customWidth="1"/>
    <col min="7686" max="7686" width="11.1640625" style="733" customWidth="1"/>
    <col min="7687" max="7687" width="10.6640625" style="733" customWidth="1"/>
    <col min="7688" max="7699" width="0" style="733" hidden="1" customWidth="1"/>
    <col min="7700" max="7700" width="10.08203125" style="733" customWidth="1"/>
    <col min="7701" max="7701" width="12.08203125" style="733" customWidth="1"/>
    <col min="7702" max="7702" width="10.6640625" style="733" customWidth="1"/>
    <col min="7703" max="7703" width="13.08203125" style="733" customWidth="1"/>
    <col min="7704" max="7704" width="10.6640625" style="733" customWidth="1"/>
    <col min="7705" max="7705" width="12.58203125" style="733" bestFit="1" customWidth="1"/>
    <col min="7706" max="7706" width="11.6640625" style="733" customWidth="1"/>
    <col min="7707" max="7713" width="0" style="733" hidden="1" customWidth="1"/>
    <col min="7714" max="7714" width="9.9140625" style="733" bestFit="1" customWidth="1"/>
    <col min="7715" max="7936" width="8.83203125" style="733"/>
    <col min="7937" max="7937" width="1.9140625" style="733" customWidth="1"/>
    <col min="7938" max="7938" width="22.4140625" style="733" customWidth="1"/>
    <col min="7939" max="7939" width="14.33203125" style="733" customWidth="1"/>
    <col min="7940" max="7940" width="10.6640625" style="733" customWidth="1"/>
    <col min="7941" max="7941" width="11.6640625" style="733" customWidth="1"/>
    <col min="7942" max="7942" width="11.1640625" style="733" customWidth="1"/>
    <col min="7943" max="7943" width="10.6640625" style="733" customWidth="1"/>
    <col min="7944" max="7955" width="0" style="733" hidden="1" customWidth="1"/>
    <col min="7956" max="7956" width="10.08203125" style="733" customWidth="1"/>
    <col min="7957" max="7957" width="12.08203125" style="733" customWidth="1"/>
    <col min="7958" max="7958" width="10.6640625" style="733" customWidth="1"/>
    <col min="7959" max="7959" width="13.08203125" style="733" customWidth="1"/>
    <col min="7960" max="7960" width="10.6640625" style="733" customWidth="1"/>
    <col min="7961" max="7961" width="12.58203125" style="733" bestFit="1" customWidth="1"/>
    <col min="7962" max="7962" width="11.6640625" style="733" customWidth="1"/>
    <col min="7963" max="7969" width="0" style="733" hidden="1" customWidth="1"/>
    <col min="7970" max="7970" width="9.9140625" style="733" bestFit="1" customWidth="1"/>
    <col min="7971" max="8192" width="8.83203125" style="733"/>
    <col min="8193" max="8193" width="1.9140625" style="733" customWidth="1"/>
    <col min="8194" max="8194" width="22.4140625" style="733" customWidth="1"/>
    <col min="8195" max="8195" width="14.33203125" style="733" customWidth="1"/>
    <col min="8196" max="8196" width="10.6640625" style="733" customWidth="1"/>
    <col min="8197" max="8197" width="11.6640625" style="733" customWidth="1"/>
    <col min="8198" max="8198" width="11.1640625" style="733" customWidth="1"/>
    <col min="8199" max="8199" width="10.6640625" style="733" customWidth="1"/>
    <col min="8200" max="8211" width="0" style="733" hidden="1" customWidth="1"/>
    <col min="8212" max="8212" width="10.08203125" style="733" customWidth="1"/>
    <col min="8213" max="8213" width="12.08203125" style="733" customWidth="1"/>
    <col min="8214" max="8214" width="10.6640625" style="733" customWidth="1"/>
    <col min="8215" max="8215" width="13.08203125" style="733" customWidth="1"/>
    <col min="8216" max="8216" width="10.6640625" style="733" customWidth="1"/>
    <col min="8217" max="8217" width="12.58203125" style="733" bestFit="1" customWidth="1"/>
    <col min="8218" max="8218" width="11.6640625" style="733" customWidth="1"/>
    <col min="8219" max="8225" width="0" style="733" hidden="1" customWidth="1"/>
    <col min="8226" max="8226" width="9.9140625" style="733" bestFit="1" customWidth="1"/>
    <col min="8227" max="8448" width="8.83203125" style="733"/>
    <col min="8449" max="8449" width="1.9140625" style="733" customWidth="1"/>
    <col min="8450" max="8450" width="22.4140625" style="733" customWidth="1"/>
    <col min="8451" max="8451" width="14.33203125" style="733" customWidth="1"/>
    <col min="8452" max="8452" width="10.6640625" style="733" customWidth="1"/>
    <col min="8453" max="8453" width="11.6640625" style="733" customWidth="1"/>
    <col min="8454" max="8454" width="11.1640625" style="733" customWidth="1"/>
    <col min="8455" max="8455" width="10.6640625" style="733" customWidth="1"/>
    <col min="8456" max="8467" width="0" style="733" hidden="1" customWidth="1"/>
    <col min="8468" max="8468" width="10.08203125" style="733" customWidth="1"/>
    <col min="8469" max="8469" width="12.08203125" style="733" customWidth="1"/>
    <col min="8470" max="8470" width="10.6640625" style="733" customWidth="1"/>
    <col min="8471" max="8471" width="13.08203125" style="733" customWidth="1"/>
    <col min="8472" max="8472" width="10.6640625" style="733" customWidth="1"/>
    <col min="8473" max="8473" width="12.58203125" style="733" bestFit="1" customWidth="1"/>
    <col min="8474" max="8474" width="11.6640625" style="733" customWidth="1"/>
    <col min="8475" max="8481" width="0" style="733" hidden="1" customWidth="1"/>
    <col min="8482" max="8482" width="9.9140625" style="733" bestFit="1" customWidth="1"/>
    <col min="8483" max="8704" width="8.83203125" style="733"/>
    <col min="8705" max="8705" width="1.9140625" style="733" customWidth="1"/>
    <col min="8706" max="8706" width="22.4140625" style="733" customWidth="1"/>
    <col min="8707" max="8707" width="14.33203125" style="733" customWidth="1"/>
    <col min="8708" max="8708" width="10.6640625" style="733" customWidth="1"/>
    <col min="8709" max="8709" width="11.6640625" style="733" customWidth="1"/>
    <col min="8710" max="8710" width="11.1640625" style="733" customWidth="1"/>
    <col min="8711" max="8711" width="10.6640625" style="733" customWidth="1"/>
    <col min="8712" max="8723" width="0" style="733" hidden="1" customWidth="1"/>
    <col min="8724" max="8724" width="10.08203125" style="733" customWidth="1"/>
    <col min="8725" max="8725" width="12.08203125" style="733" customWidth="1"/>
    <col min="8726" max="8726" width="10.6640625" style="733" customWidth="1"/>
    <col min="8727" max="8727" width="13.08203125" style="733" customWidth="1"/>
    <col min="8728" max="8728" width="10.6640625" style="733" customWidth="1"/>
    <col min="8729" max="8729" width="12.58203125" style="733" bestFit="1" customWidth="1"/>
    <col min="8730" max="8730" width="11.6640625" style="733" customWidth="1"/>
    <col min="8731" max="8737" width="0" style="733" hidden="1" customWidth="1"/>
    <col min="8738" max="8738" width="9.9140625" style="733" bestFit="1" customWidth="1"/>
    <col min="8739" max="8960" width="8.83203125" style="733"/>
    <col min="8961" max="8961" width="1.9140625" style="733" customWidth="1"/>
    <col min="8962" max="8962" width="22.4140625" style="733" customWidth="1"/>
    <col min="8963" max="8963" width="14.33203125" style="733" customWidth="1"/>
    <col min="8964" max="8964" width="10.6640625" style="733" customWidth="1"/>
    <col min="8965" max="8965" width="11.6640625" style="733" customWidth="1"/>
    <col min="8966" max="8966" width="11.1640625" style="733" customWidth="1"/>
    <col min="8967" max="8967" width="10.6640625" style="733" customWidth="1"/>
    <col min="8968" max="8979" width="0" style="733" hidden="1" customWidth="1"/>
    <col min="8980" max="8980" width="10.08203125" style="733" customWidth="1"/>
    <col min="8981" max="8981" width="12.08203125" style="733" customWidth="1"/>
    <col min="8982" max="8982" width="10.6640625" style="733" customWidth="1"/>
    <col min="8983" max="8983" width="13.08203125" style="733" customWidth="1"/>
    <col min="8984" max="8984" width="10.6640625" style="733" customWidth="1"/>
    <col min="8985" max="8985" width="12.58203125" style="733" bestFit="1" customWidth="1"/>
    <col min="8986" max="8986" width="11.6640625" style="733" customWidth="1"/>
    <col min="8987" max="8993" width="0" style="733" hidden="1" customWidth="1"/>
    <col min="8994" max="8994" width="9.9140625" style="733" bestFit="1" customWidth="1"/>
    <col min="8995" max="9216" width="8.83203125" style="733"/>
    <col min="9217" max="9217" width="1.9140625" style="733" customWidth="1"/>
    <col min="9218" max="9218" width="22.4140625" style="733" customWidth="1"/>
    <col min="9219" max="9219" width="14.33203125" style="733" customWidth="1"/>
    <col min="9220" max="9220" width="10.6640625" style="733" customWidth="1"/>
    <col min="9221" max="9221" width="11.6640625" style="733" customWidth="1"/>
    <col min="9222" max="9222" width="11.1640625" style="733" customWidth="1"/>
    <col min="9223" max="9223" width="10.6640625" style="733" customWidth="1"/>
    <col min="9224" max="9235" width="0" style="733" hidden="1" customWidth="1"/>
    <col min="9236" max="9236" width="10.08203125" style="733" customWidth="1"/>
    <col min="9237" max="9237" width="12.08203125" style="733" customWidth="1"/>
    <col min="9238" max="9238" width="10.6640625" style="733" customWidth="1"/>
    <col min="9239" max="9239" width="13.08203125" style="733" customWidth="1"/>
    <col min="9240" max="9240" width="10.6640625" style="733" customWidth="1"/>
    <col min="9241" max="9241" width="12.58203125" style="733" bestFit="1" customWidth="1"/>
    <col min="9242" max="9242" width="11.6640625" style="733" customWidth="1"/>
    <col min="9243" max="9249" width="0" style="733" hidden="1" customWidth="1"/>
    <col min="9250" max="9250" width="9.9140625" style="733" bestFit="1" customWidth="1"/>
    <col min="9251" max="9472" width="8.83203125" style="733"/>
    <col min="9473" max="9473" width="1.9140625" style="733" customWidth="1"/>
    <col min="9474" max="9474" width="22.4140625" style="733" customWidth="1"/>
    <col min="9475" max="9475" width="14.33203125" style="733" customWidth="1"/>
    <col min="9476" max="9476" width="10.6640625" style="733" customWidth="1"/>
    <col min="9477" max="9477" width="11.6640625" style="733" customWidth="1"/>
    <col min="9478" max="9478" width="11.1640625" style="733" customWidth="1"/>
    <col min="9479" max="9479" width="10.6640625" style="733" customWidth="1"/>
    <col min="9480" max="9491" width="0" style="733" hidden="1" customWidth="1"/>
    <col min="9492" max="9492" width="10.08203125" style="733" customWidth="1"/>
    <col min="9493" max="9493" width="12.08203125" style="733" customWidth="1"/>
    <col min="9494" max="9494" width="10.6640625" style="733" customWidth="1"/>
    <col min="9495" max="9495" width="13.08203125" style="733" customWidth="1"/>
    <col min="9496" max="9496" width="10.6640625" style="733" customWidth="1"/>
    <col min="9497" max="9497" width="12.58203125" style="733" bestFit="1" customWidth="1"/>
    <col min="9498" max="9498" width="11.6640625" style="733" customWidth="1"/>
    <col min="9499" max="9505" width="0" style="733" hidden="1" customWidth="1"/>
    <col min="9506" max="9506" width="9.9140625" style="733" bestFit="1" customWidth="1"/>
    <col min="9507" max="9728" width="8.83203125" style="733"/>
    <col min="9729" max="9729" width="1.9140625" style="733" customWidth="1"/>
    <col min="9730" max="9730" width="22.4140625" style="733" customWidth="1"/>
    <col min="9731" max="9731" width="14.33203125" style="733" customWidth="1"/>
    <col min="9732" max="9732" width="10.6640625" style="733" customWidth="1"/>
    <col min="9733" max="9733" width="11.6640625" style="733" customWidth="1"/>
    <col min="9734" max="9734" width="11.1640625" style="733" customWidth="1"/>
    <col min="9735" max="9735" width="10.6640625" style="733" customWidth="1"/>
    <col min="9736" max="9747" width="0" style="733" hidden="1" customWidth="1"/>
    <col min="9748" max="9748" width="10.08203125" style="733" customWidth="1"/>
    <col min="9749" max="9749" width="12.08203125" style="733" customWidth="1"/>
    <col min="9750" max="9750" width="10.6640625" style="733" customWidth="1"/>
    <col min="9751" max="9751" width="13.08203125" style="733" customWidth="1"/>
    <col min="9752" max="9752" width="10.6640625" style="733" customWidth="1"/>
    <col min="9753" max="9753" width="12.58203125" style="733" bestFit="1" customWidth="1"/>
    <col min="9754" max="9754" width="11.6640625" style="733" customWidth="1"/>
    <col min="9755" max="9761" width="0" style="733" hidden="1" customWidth="1"/>
    <col min="9762" max="9762" width="9.9140625" style="733" bestFit="1" customWidth="1"/>
    <col min="9763" max="9984" width="8.83203125" style="733"/>
    <col min="9985" max="9985" width="1.9140625" style="733" customWidth="1"/>
    <col min="9986" max="9986" width="22.4140625" style="733" customWidth="1"/>
    <col min="9987" max="9987" width="14.33203125" style="733" customWidth="1"/>
    <col min="9988" max="9988" width="10.6640625" style="733" customWidth="1"/>
    <col min="9989" max="9989" width="11.6640625" style="733" customWidth="1"/>
    <col min="9990" max="9990" width="11.1640625" style="733" customWidth="1"/>
    <col min="9991" max="9991" width="10.6640625" style="733" customWidth="1"/>
    <col min="9992" max="10003" width="0" style="733" hidden="1" customWidth="1"/>
    <col min="10004" max="10004" width="10.08203125" style="733" customWidth="1"/>
    <col min="10005" max="10005" width="12.08203125" style="733" customWidth="1"/>
    <col min="10006" max="10006" width="10.6640625" style="733" customWidth="1"/>
    <col min="10007" max="10007" width="13.08203125" style="733" customWidth="1"/>
    <col min="10008" max="10008" width="10.6640625" style="733" customWidth="1"/>
    <col min="10009" max="10009" width="12.58203125" style="733" bestFit="1" customWidth="1"/>
    <col min="10010" max="10010" width="11.6640625" style="733" customWidth="1"/>
    <col min="10011" max="10017" width="0" style="733" hidden="1" customWidth="1"/>
    <col min="10018" max="10018" width="9.9140625" style="733" bestFit="1" customWidth="1"/>
    <col min="10019" max="10240" width="8.83203125" style="733"/>
    <col min="10241" max="10241" width="1.9140625" style="733" customWidth="1"/>
    <col min="10242" max="10242" width="22.4140625" style="733" customWidth="1"/>
    <col min="10243" max="10243" width="14.33203125" style="733" customWidth="1"/>
    <col min="10244" max="10244" width="10.6640625" style="733" customWidth="1"/>
    <col min="10245" max="10245" width="11.6640625" style="733" customWidth="1"/>
    <col min="10246" max="10246" width="11.1640625" style="733" customWidth="1"/>
    <col min="10247" max="10247" width="10.6640625" style="733" customWidth="1"/>
    <col min="10248" max="10259" width="0" style="733" hidden="1" customWidth="1"/>
    <col min="10260" max="10260" width="10.08203125" style="733" customWidth="1"/>
    <col min="10261" max="10261" width="12.08203125" style="733" customWidth="1"/>
    <col min="10262" max="10262" width="10.6640625" style="733" customWidth="1"/>
    <col min="10263" max="10263" width="13.08203125" style="733" customWidth="1"/>
    <col min="10264" max="10264" width="10.6640625" style="733" customWidth="1"/>
    <col min="10265" max="10265" width="12.58203125" style="733" bestFit="1" customWidth="1"/>
    <col min="10266" max="10266" width="11.6640625" style="733" customWidth="1"/>
    <col min="10267" max="10273" width="0" style="733" hidden="1" customWidth="1"/>
    <col min="10274" max="10274" width="9.9140625" style="733" bestFit="1" customWidth="1"/>
    <col min="10275" max="10496" width="8.83203125" style="733"/>
    <col min="10497" max="10497" width="1.9140625" style="733" customWidth="1"/>
    <col min="10498" max="10498" width="22.4140625" style="733" customWidth="1"/>
    <col min="10499" max="10499" width="14.33203125" style="733" customWidth="1"/>
    <col min="10500" max="10500" width="10.6640625" style="733" customWidth="1"/>
    <col min="10501" max="10501" width="11.6640625" style="733" customWidth="1"/>
    <col min="10502" max="10502" width="11.1640625" style="733" customWidth="1"/>
    <col min="10503" max="10503" width="10.6640625" style="733" customWidth="1"/>
    <col min="10504" max="10515" width="0" style="733" hidden="1" customWidth="1"/>
    <col min="10516" max="10516" width="10.08203125" style="733" customWidth="1"/>
    <col min="10517" max="10517" width="12.08203125" style="733" customWidth="1"/>
    <col min="10518" max="10518" width="10.6640625" style="733" customWidth="1"/>
    <col min="10519" max="10519" width="13.08203125" style="733" customWidth="1"/>
    <col min="10520" max="10520" width="10.6640625" style="733" customWidth="1"/>
    <col min="10521" max="10521" width="12.58203125" style="733" bestFit="1" customWidth="1"/>
    <col min="10522" max="10522" width="11.6640625" style="733" customWidth="1"/>
    <col min="10523" max="10529" width="0" style="733" hidden="1" customWidth="1"/>
    <col min="10530" max="10530" width="9.9140625" style="733" bestFit="1" customWidth="1"/>
    <col min="10531" max="10752" width="8.83203125" style="733"/>
    <col min="10753" max="10753" width="1.9140625" style="733" customWidth="1"/>
    <col min="10754" max="10754" width="22.4140625" style="733" customWidth="1"/>
    <col min="10755" max="10755" width="14.33203125" style="733" customWidth="1"/>
    <col min="10756" max="10756" width="10.6640625" style="733" customWidth="1"/>
    <col min="10757" max="10757" width="11.6640625" style="733" customWidth="1"/>
    <col min="10758" max="10758" width="11.1640625" style="733" customWidth="1"/>
    <col min="10759" max="10759" width="10.6640625" style="733" customWidth="1"/>
    <col min="10760" max="10771" width="0" style="733" hidden="1" customWidth="1"/>
    <col min="10772" max="10772" width="10.08203125" style="733" customWidth="1"/>
    <col min="10773" max="10773" width="12.08203125" style="733" customWidth="1"/>
    <col min="10774" max="10774" width="10.6640625" style="733" customWidth="1"/>
    <col min="10775" max="10775" width="13.08203125" style="733" customWidth="1"/>
    <col min="10776" max="10776" width="10.6640625" style="733" customWidth="1"/>
    <col min="10777" max="10777" width="12.58203125" style="733" bestFit="1" customWidth="1"/>
    <col min="10778" max="10778" width="11.6640625" style="733" customWidth="1"/>
    <col min="10779" max="10785" width="0" style="733" hidden="1" customWidth="1"/>
    <col min="10786" max="10786" width="9.9140625" style="733" bestFit="1" customWidth="1"/>
    <col min="10787" max="11008" width="8.83203125" style="733"/>
    <col min="11009" max="11009" width="1.9140625" style="733" customWidth="1"/>
    <col min="11010" max="11010" width="22.4140625" style="733" customWidth="1"/>
    <col min="11011" max="11011" width="14.33203125" style="733" customWidth="1"/>
    <col min="11012" max="11012" width="10.6640625" style="733" customWidth="1"/>
    <col min="11013" max="11013" width="11.6640625" style="733" customWidth="1"/>
    <col min="11014" max="11014" width="11.1640625" style="733" customWidth="1"/>
    <col min="11015" max="11015" width="10.6640625" style="733" customWidth="1"/>
    <col min="11016" max="11027" width="0" style="733" hidden="1" customWidth="1"/>
    <col min="11028" max="11028" width="10.08203125" style="733" customWidth="1"/>
    <col min="11029" max="11029" width="12.08203125" style="733" customWidth="1"/>
    <col min="11030" max="11030" width="10.6640625" style="733" customWidth="1"/>
    <col min="11031" max="11031" width="13.08203125" style="733" customWidth="1"/>
    <col min="11032" max="11032" width="10.6640625" style="733" customWidth="1"/>
    <col min="11033" max="11033" width="12.58203125" style="733" bestFit="1" customWidth="1"/>
    <col min="11034" max="11034" width="11.6640625" style="733" customWidth="1"/>
    <col min="11035" max="11041" width="0" style="733" hidden="1" customWidth="1"/>
    <col min="11042" max="11042" width="9.9140625" style="733" bestFit="1" customWidth="1"/>
    <col min="11043" max="11264" width="8.83203125" style="733"/>
    <col min="11265" max="11265" width="1.9140625" style="733" customWidth="1"/>
    <col min="11266" max="11266" width="22.4140625" style="733" customWidth="1"/>
    <col min="11267" max="11267" width="14.33203125" style="733" customWidth="1"/>
    <col min="11268" max="11268" width="10.6640625" style="733" customWidth="1"/>
    <col min="11269" max="11269" width="11.6640625" style="733" customWidth="1"/>
    <col min="11270" max="11270" width="11.1640625" style="733" customWidth="1"/>
    <col min="11271" max="11271" width="10.6640625" style="733" customWidth="1"/>
    <col min="11272" max="11283" width="0" style="733" hidden="1" customWidth="1"/>
    <col min="11284" max="11284" width="10.08203125" style="733" customWidth="1"/>
    <col min="11285" max="11285" width="12.08203125" style="733" customWidth="1"/>
    <col min="11286" max="11286" width="10.6640625" style="733" customWidth="1"/>
    <col min="11287" max="11287" width="13.08203125" style="733" customWidth="1"/>
    <col min="11288" max="11288" width="10.6640625" style="733" customWidth="1"/>
    <col min="11289" max="11289" width="12.58203125" style="733" bestFit="1" customWidth="1"/>
    <col min="11290" max="11290" width="11.6640625" style="733" customWidth="1"/>
    <col min="11291" max="11297" width="0" style="733" hidden="1" customWidth="1"/>
    <col min="11298" max="11298" width="9.9140625" style="733" bestFit="1" customWidth="1"/>
    <col min="11299" max="11520" width="8.83203125" style="733"/>
    <col min="11521" max="11521" width="1.9140625" style="733" customWidth="1"/>
    <col min="11522" max="11522" width="22.4140625" style="733" customWidth="1"/>
    <col min="11523" max="11523" width="14.33203125" style="733" customWidth="1"/>
    <col min="11524" max="11524" width="10.6640625" style="733" customWidth="1"/>
    <col min="11525" max="11525" width="11.6640625" style="733" customWidth="1"/>
    <col min="11526" max="11526" width="11.1640625" style="733" customWidth="1"/>
    <col min="11527" max="11527" width="10.6640625" style="733" customWidth="1"/>
    <col min="11528" max="11539" width="0" style="733" hidden="1" customWidth="1"/>
    <col min="11540" max="11540" width="10.08203125" style="733" customWidth="1"/>
    <col min="11541" max="11541" width="12.08203125" style="733" customWidth="1"/>
    <col min="11542" max="11542" width="10.6640625" style="733" customWidth="1"/>
    <col min="11543" max="11543" width="13.08203125" style="733" customWidth="1"/>
    <col min="11544" max="11544" width="10.6640625" style="733" customWidth="1"/>
    <col min="11545" max="11545" width="12.58203125" style="733" bestFit="1" customWidth="1"/>
    <col min="11546" max="11546" width="11.6640625" style="733" customWidth="1"/>
    <col min="11547" max="11553" width="0" style="733" hidden="1" customWidth="1"/>
    <col min="11554" max="11554" width="9.9140625" style="733" bestFit="1" customWidth="1"/>
    <col min="11555" max="11776" width="8.83203125" style="733"/>
    <col min="11777" max="11777" width="1.9140625" style="733" customWidth="1"/>
    <col min="11778" max="11778" width="22.4140625" style="733" customWidth="1"/>
    <col min="11779" max="11779" width="14.33203125" style="733" customWidth="1"/>
    <col min="11780" max="11780" width="10.6640625" style="733" customWidth="1"/>
    <col min="11781" max="11781" width="11.6640625" style="733" customWidth="1"/>
    <col min="11782" max="11782" width="11.1640625" style="733" customWidth="1"/>
    <col min="11783" max="11783" width="10.6640625" style="733" customWidth="1"/>
    <col min="11784" max="11795" width="0" style="733" hidden="1" customWidth="1"/>
    <col min="11796" max="11796" width="10.08203125" style="733" customWidth="1"/>
    <col min="11797" max="11797" width="12.08203125" style="733" customWidth="1"/>
    <col min="11798" max="11798" width="10.6640625" style="733" customWidth="1"/>
    <col min="11799" max="11799" width="13.08203125" style="733" customWidth="1"/>
    <col min="11800" max="11800" width="10.6640625" style="733" customWidth="1"/>
    <col min="11801" max="11801" width="12.58203125" style="733" bestFit="1" customWidth="1"/>
    <col min="11802" max="11802" width="11.6640625" style="733" customWidth="1"/>
    <col min="11803" max="11809" width="0" style="733" hidden="1" customWidth="1"/>
    <col min="11810" max="11810" width="9.9140625" style="733" bestFit="1" customWidth="1"/>
    <col min="11811" max="12032" width="8.83203125" style="733"/>
    <col min="12033" max="12033" width="1.9140625" style="733" customWidth="1"/>
    <col min="12034" max="12034" width="22.4140625" style="733" customWidth="1"/>
    <col min="12035" max="12035" width="14.33203125" style="733" customWidth="1"/>
    <col min="12036" max="12036" width="10.6640625" style="733" customWidth="1"/>
    <col min="12037" max="12037" width="11.6640625" style="733" customWidth="1"/>
    <col min="12038" max="12038" width="11.1640625" style="733" customWidth="1"/>
    <col min="12039" max="12039" width="10.6640625" style="733" customWidth="1"/>
    <col min="12040" max="12051" width="0" style="733" hidden="1" customWidth="1"/>
    <col min="12052" max="12052" width="10.08203125" style="733" customWidth="1"/>
    <col min="12053" max="12053" width="12.08203125" style="733" customWidth="1"/>
    <col min="12054" max="12054" width="10.6640625" style="733" customWidth="1"/>
    <col min="12055" max="12055" width="13.08203125" style="733" customWidth="1"/>
    <col min="12056" max="12056" width="10.6640625" style="733" customWidth="1"/>
    <col min="12057" max="12057" width="12.58203125" style="733" bestFit="1" customWidth="1"/>
    <col min="12058" max="12058" width="11.6640625" style="733" customWidth="1"/>
    <col min="12059" max="12065" width="0" style="733" hidden="1" customWidth="1"/>
    <col min="12066" max="12066" width="9.9140625" style="733" bestFit="1" customWidth="1"/>
    <col min="12067" max="12288" width="8.83203125" style="733"/>
    <col min="12289" max="12289" width="1.9140625" style="733" customWidth="1"/>
    <col min="12290" max="12290" width="22.4140625" style="733" customWidth="1"/>
    <col min="12291" max="12291" width="14.33203125" style="733" customWidth="1"/>
    <col min="12292" max="12292" width="10.6640625" style="733" customWidth="1"/>
    <col min="12293" max="12293" width="11.6640625" style="733" customWidth="1"/>
    <col min="12294" max="12294" width="11.1640625" style="733" customWidth="1"/>
    <col min="12295" max="12295" width="10.6640625" style="733" customWidth="1"/>
    <col min="12296" max="12307" width="0" style="733" hidden="1" customWidth="1"/>
    <col min="12308" max="12308" width="10.08203125" style="733" customWidth="1"/>
    <col min="12309" max="12309" width="12.08203125" style="733" customWidth="1"/>
    <col min="12310" max="12310" width="10.6640625" style="733" customWidth="1"/>
    <col min="12311" max="12311" width="13.08203125" style="733" customWidth="1"/>
    <col min="12312" max="12312" width="10.6640625" style="733" customWidth="1"/>
    <col min="12313" max="12313" width="12.58203125" style="733" bestFit="1" customWidth="1"/>
    <col min="12314" max="12314" width="11.6640625" style="733" customWidth="1"/>
    <col min="12315" max="12321" width="0" style="733" hidden="1" customWidth="1"/>
    <col min="12322" max="12322" width="9.9140625" style="733" bestFit="1" customWidth="1"/>
    <col min="12323" max="12544" width="8.83203125" style="733"/>
    <col min="12545" max="12545" width="1.9140625" style="733" customWidth="1"/>
    <col min="12546" max="12546" width="22.4140625" style="733" customWidth="1"/>
    <col min="12547" max="12547" width="14.33203125" style="733" customWidth="1"/>
    <col min="12548" max="12548" width="10.6640625" style="733" customWidth="1"/>
    <col min="12549" max="12549" width="11.6640625" style="733" customWidth="1"/>
    <col min="12550" max="12550" width="11.1640625" style="733" customWidth="1"/>
    <col min="12551" max="12551" width="10.6640625" style="733" customWidth="1"/>
    <col min="12552" max="12563" width="0" style="733" hidden="1" customWidth="1"/>
    <col min="12564" max="12564" width="10.08203125" style="733" customWidth="1"/>
    <col min="12565" max="12565" width="12.08203125" style="733" customWidth="1"/>
    <col min="12566" max="12566" width="10.6640625" style="733" customWidth="1"/>
    <col min="12567" max="12567" width="13.08203125" style="733" customWidth="1"/>
    <col min="12568" max="12568" width="10.6640625" style="733" customWidth="1"/>
    <col min="12569" max="12569" width="12.58203125" style="733" bestFit="1" customWidth="1"/>
    <col min="12570" max="12570" width="11.6640625" style="733" customWidth="1"/>
    <col min="12571" max="12577" width="0" style="733" hidden="1" customWidth="1"/>
    <col min="12578" max="12578" width="9.9140625" style="733" bestFit="1" customWidth="1"/>
    <col min="12579" max="12800" width="8.83203125" style="733"/>
    <col min="12801" max="12801" width="1.9140625" style="733" customWidth="1"/>
    <col min="12802" max="12802" width="22.4140625" style="733" customWidth="1"/>
    <col min="12803" max="12803" width="14.33203125" style="733" customWidth="1"/>
    <col min="12804" max="12804" width="10.6640625" style="733" customWidth="1"/>
    <col min="12805" max="12805" width="11.6640625" style="733" customWidth="1"/>
    <col min="12806" max="12806" width="11.1640625" style="733" customWidth="1"/>
    <col min="12807" max="12807" width="10.6640625" style="733" customWidth="1"/>
    <col min="12808" max="12819" width="0" style="733" hidden="1" customWidth="1"/>
    <col min="12820" max="12820" width="10.08203125" style="733" customWidth="1"/>
    <col min="12821" max="12821" width="12.08203125" style="733" customWidth="1"/>
    <col min="12822" max="12822" width="10.6640625" style="733" customWidth="1"/>
    <col min="12823" max="12823" width="13.08203125" style="733" customWidth="1"/>
    <col min="12824" max="12824" width="10.6640625" style="733" customWidth="1"/>
    <col min="12825" max="12825" width="12.58203125" style="733" bestFit="1" customWidth="1"/>
    <col min="12826" max="12826" width="11.6640625" style="733" customWidth="1"/>
    <col min="12827" max="12833" width="0" style="733" hidden="1" customWidth="1"/>
    <col min="12834" max="12834" width="9.9140625" style="733" bestFit="1" customWidth="1"/>
    <col min="12835" max="13056" width="8.83203125" style="733"/>
    <col min="13057" max="13057" width="1.9140625" style="733" customWidth="1"/>
    <col min="13058" max="13058" width="22.4140625" style="733" customWidth="1"/>
    <col min="13059" max="13059" width="14.33203125" style="733" customWidth="1"/>
    <col min="13060" max="13060" width="10.6640625" style="733" customWidth="1"/>
    <col min="13061" max="13061" width="11.6640625" style="733" customWidth="1"/>
    <col min="13062" max="13062" width="11.1640625" style="733" customWidth="1"/>
    <col min="13063" max="13063" width="10.6640625" style="733" customWidth="1"/>
    <col min="13064" max="13075" width="0" style="733" hidden="1" customWidth="1"/>
    <col min="13076" max="13076" width="10.08203125" style="733" customWidth="1"/>
    <col min="13077" max="13077" width="12.08203125" style="733" customWidth="1"/>
    <col min="13078" max="13078" width="10.6640625" style="733" customWidth="1"/>
    <col min="13079" max="13079" width="13.08203125" style="733" customWidth="1"/>
    <col min="13080" max="13080" width="10.6640625" style="733" customWidth="1"/>
    <col min="13081" max="13081" width="12.58203125" style="733" bestFit="1" customWidth="1"/>
    <col min="13082" max="13082" width="11.6640625" style="733" customWidth="1"/>
    <col min="13083" max="13089" width="0" style="733" hidden="1" customWidth="1"/>
    <col min="13090" max="13090" width="9.9140625" style="733" bestFit="1" customWidth="1"/>
    <col min="13091" max="13312" width="8.83203125" style="733"/>
    <col min="13313" max="13313" width="1.9140625" style="733" customWidth="1"/>
    <col min="13314" max="13314" width="22.4140625" style="733" customWidth="1"/>
    <col min="13315" max="13315" width="14.33203125" style="733" customWidth="1"/>
    <col min="13316" max="13316" width="10.6640625" style="733" customWidth="1"/>
    <col min="13317" max="13317" width="11.6640625" style="733" customWidth="1"/>
    <col min="13318" max="13318" width="11.1640625" style="733" customWidth="1"/>
    <col min="13319" max="13319" width="10.6640625" style="733" customWidth="1"/>
    <col min="13320" max="13331" width="0" style="733" hidden="1" customWidth="1"/>
    <col min="13332" max="13332" width="10.08203125" style="733" customWidth="1"/>
    <col min="13333" max="13333" width="12.08203125" style="733" customWidth="1"/>
    <col min="13334" max="13334" width="10.6640625" style="733" customWidth="1"/>
    <col min="13335" max="13335" width="13.08203125" style="733" customWidth="1"/>
    <col min="13336" max="13336" width="10.6640625" style="733" customWidth="1"/>
    <col min="13337" max="13337" width="12.58203125" style="733" bestFit="1" customWidth="1"/>
    <col min="13338" max="13338" width="11.6640625" style="733" customWidth="1"/>
    <col min="13339" max="13345" width="0" style="733" hidden="1" customWidth="1"/>
    <col min="13346" max="13346" width="9.9140625" style="733" bestFit="1" customWidth="1"/>
    <col min="13347" max="13568" width="8.83203125" style="733"/>
    <col min="13569" max="13569" width="1.9140625" style="733" customWidth="1"/>
    <col min="13570" max="13570" width="22.4140625" style="733" customWidth="1"/>
    <col min="13571" max="13571" width="14.33203125" style="733" customWidth="1"/>
    <col min="13572" max="13572" width="10.6640625" style="733" customWidth="1"/>
    <col min="13573" max="13573" width="11.6640625" style="733" customWidth="1"/>
    <col min="13574" max="13574" width="11.1640625" style="733" customWidth="1"/>
    <col min="13575" max="13575" width="10.6640625" style="733" customWidth="1"/>
    <col min="13576" max="13587" width="0" style="733" hidden="1" customWidth="1"/>
    <col min="13588" max="13588" width="10.08203125" style="733" customWidth="1"/>
    <col min="13589" max="13589" width="12.08203125" style="733" customWidth="1"/>
    <col min="13590" max="13590" width="10.6640625" style="733" customWidth="1"/>
    <col min="13591" max="13591" width="13.08203125" style="733" customWidth="1"/>
    <col min="13592" max="13592" width="10.6640625" style="733" customWidth="1"/>
    <col min="13593" max="13593" width="12.58203125" style="733" bestFit="1" customWidth="1"/>
    <col min="13594" max="13594" width="11.6640625" style="733" customWidth="1"/>
    <col min="13595" max="13601" width="0" style="733" hidden="1" customWidth="1"/>
    <col min="13602" max="13602" width="9.9140625" style="733" bestFit="1" customWidth="1"/>
    <col min="13603" max="13824" width="8.83203125" style="733"/>
    <col min="13825" max="13825" width="1.9140625" style="733" customWidth="1"/>
    <col min="13826" max="13826" width="22.4140625" style="733" customWidth="1"/>
    <col min="13827" max="13827" width="14.33203125" style="733" customWidth="1"/>
    <col min="13828" max="13828" width="10.6640625" style="733" customWidth="1"/>
    <col min="13829" max="13829" width="11.6640625" style="733" customWidth="1"/>
    <col min="13830" max="13830" width="11.1640625" style="733" customWidth="1"/>
    <col min="13831" max="13831" width="10.6640625" style="733" customWidth="1"/>
    <col min="13832" max="13843" width="0" style="733" hidden="1" customWidth="1"/>
    <col min="13844" max="13844" width="10.08203125" style="733" customWidth="1"/>
    <col min="13845" max="13845" width="12.08203125" style="733" customWidth="1"/>
    <col min="13846" max="13846" width="10.6640625" style="733" customWidth="1"/>
    <col min="13847" max="13847" width="13.08203125" style="733" customWidth="1"/>
    <col min="13848" max="13848" width="10.6640625" style="733" customWidth="1"/>
    <col min="13849" max="13849" width="12.58203125" style="733" bestFit="1" customWidth="1"/>
    <col min="13850" max="13850" width="11.6640625" style="733" customWidth="1"/>
    <col min="13851" max="13857" width="0" style="733" hidden="1" customWidth="1"/>
    <col min="13858" max="13858" width="9.9140625" style="733" bestFit="1" customWidth="1"/>
    <col min="13859" max="14080" width="8.83203125" style="733"/>
    <col min="14081" max="14081" width="1.9140625" style="733" customWidth="1"/>
    <col min="14082" max="14082" width="22.4140625" style="733" customWidth="1"/>
    <col min="14083" max="14083" width="14.33203125" style="733" customWidth="1"/>
    <col min="14084" max="14084" width="10.6640625" style="733" customWidth="1"/>
    <col min="14085" max="14085" width="11.6640625" style="733" customWidth="1"/>
    <col min="14086" max="14086" width="11.1640625" style="733" customWidth="1"/>
    <col min="14087" max="14087" width="10.6640625" style="733" customWidth="1"/>
    <col min="14088" max="14099" width="0" style="733" hidden="1" customWidth="1"/>
    <col min="14100" max="14100" width="10.08203125" style="733" customWidth="1"/>
    <col min="14101" max="14101" width="12.08203125" style="733" customWidth="1"/>
    <col min="14102" max="14102" width="10.6640625" style="733" customWidth="1"/>
    <col min="14103" max="14103" width="13.08203125" style="733" customWidth="1"/>
    <col min="14104" max="14104" width="10.6640625" style="733" customWidth="1"/>
    <col min="14105" max="14105" width="12.58203125" style="733" bestFit="1" customWidth="1"/>
    <col min="14106" max="14106" width="11.6640625" style="733" customWidth="1"/>
    <col min="14107" max="14113" width="0" style="733" hidden="1" customWidth="1"/>
    <col min="14114" max="14114" width="9.9140625" style="733" bestFit="1" customWidth="1"/>
    <col min="14115" max="14336" width="8.83203125" style="733"/>
    <col min="14337" max="14337" width="1.9140625" style="733" customWidth="1"/>
    <col min="14338" max="14338" width="22.4140625" style="733" customWidth="1"/>
    <col min="14339" max="14339" width="14.33203125" style="733" customWidth="1"/>
    <col min="14340" max="14340" width="10.6640625" style="733" customWidth="1"/>
    <col min="14341" max="14341" width="11.6640625" style="733" customWidth="1"/>
    <col min="14342" max="14342" width="11.1640625" style="733" customWidth="1"/>
    <col min="14343" max="14343" width="10.6640625" style="733" customWidth="1"/>
    <col min="14344" max="14355" width="0" style="733" hidden="1" customWidth="1"/>
    <col min="14356" max="14356" width="10.08203125" style="733" customWidth="1"/>
    <col min="14357" max="14357" width="12.08203125" style="733" customWidth="1"/>
    <col min="14358" max="14358" width="10.6640625" style="733" customWidth="1"/>
    <col min="14359" max="14359" width="13.08203125" style="733" customWidth="1"/>
    <col min="14360" max="14360" width="10.6640625" style="733" customWidth="1"/>
    <col min="14361" max="14361" width="12.58203125" style="733" bestFit="1" customWidth="1"/>
    <col min="14362" max="14362" width="11.6640625" style="733" customWidth="1"/>
    <col min="14363" max="14369" width="0" style="733" hidden="1" customWidth="1"/>
    <col min="14370" max="14370" width="9.9140625" style="733" bestFit="1" customWidth="1"/>
    <col min="14371" max="14592" width="8.83203125" style="733"/>
    <col min="14593" max="14593" width="1.9140625" style="733" customWidth="1"/>
    <col min="14594" max="14594" width="22.4140625" style="733" customWidth="1"/>
    <col min="14595" max="14595" width="14.33203125" style="733" customWidth="1"/>
    <col min="14596" max="14596" width="10.6640625" style="733" customWidth="1"/>
    <col min="14597" max="14597" width="11.6640625" style="733" customWidth="1"/>
    <col min="14598" max="14598" width="11.1640625" style="733" customWidth="1"/>
    <col min="14599" max="14599" width="10.6640625" style="733" customWidth="1"/>
    <col min="14600" max="14611" width="0" style="733" hidden="1" customWidth="1"/>
    <col min="14612" max="14612" width="10.08203125" style="733" customWidth="1"/>
    <col min="14613" max="14613" width="12.08203125" style="733" customWidth="1"/>
    <col min="14614" max="14614" width="10.6640625" style="733" customWidth="1"/>
    <col min="14615" max="14615" width="13.08203125" style="733" customWidth="1"/>
    <col min="14616" max="14616" width="10.6640625" style="733" customWidth="1"/>
    <col min="14617" max="14617" width="12.58203125" style="733" bestFit="1" customWidth="1"/>
    <col min="14618" max="14618" width="11.6640625" style="733" customWidth="1"/>
    <col min="14619" max="14625" width="0" style="733" hidden="1" customWidth="1"/>
    <col min="14626" max="14626" width="9.9140625" style="733" bestFit="1" customWidth="1"/>
    <col min="14627" max="14848" width="8.83203125" style="733"/>
    <col min="14849" max="14849" width="1.9140625" style="733" customWidth="1"/>
    <col min="14850" max="14850" width="22.4140625" style="733" customWidth="1"/>
    <col min="14851" max="14851" width="14.33203125" style="733" customWidth="1"/>
    <col min="14852" max="14852" width="10.6640625" style="733" customWidth="1"/>
    <col min="14853" max="14853" width="11.6640625" style="733" customWidth="1"/>
    <col min="14854" max="14854" width="11.1640625" style="733" customWidth="1"/>
    <col min="14855" max="14855" width="10.6640625" style="733" customWidth="1"/>
    <col min="14856" max="14867" width="0" style="733" hidden="1" customWidth="1"/>
    <col min="14868" max="14868" width="10.08203125" style="733" customWidth="1"/>
    <col min="14869" max="14869" width="12.08203125" style="733" customWidth="1"/>
    <col min="14870" max="14870" width="10.6640625" style="733" customWidth="1"/>
    <col min="14871" max="14871" width="13.08203125" style="733" customWidth="1"/>
    <col min="14872" max="14872" width="10.6640625" style="733" customWidth="1"/>
    <col min="14873" max="14873" width="12.58203125" style="733" bestFit="1" customWidth="1"/>
    <col min="14874" max="14874" width="11.6640625" style="733" customWidth="1"/>
    <col min="14875" max="14881" width="0" style="733" hidden="1" customWidth="1"/>
    <col min="14882" max="14882" width="9.9140625" style="733" bestFit="1" customWidth="1"/>
    <col min="14883" max="15104" width="8.83203125" style="733"/>
    <col min="15105" max="15105" width="1.9140625" style="733" customWidth="1"/>
    <col min="15106" max="15106" width="22.4140625" style="733" customWidth="1"/>
    <col min="15107" max="15107" width="14.33203125" style="733" customWidth="1"/>
    <col min="15108" max="15108" width="10.6640625" style="733" customWidth="1"/>
    <col min="15109" max="15109" width="11.6640625" style="733" customWidth="1"/>
    <col min="15110" max="15110" width="11.1640625" style="733" customWidth="1"/>
    <col min="15111" max="15111" width="10.6640625" style="733" customWidth="1"/>
    <col min="15112" max="15123" width="0" style="733" hidden="1" customWidth="1"/>
    <col min="15124" max="15124" width="10.08203125" style="733" customWidth="1"/>
    <col min="15125" max="15125" width="12.08203125" style="733" customWidth="1"/>
    <col min="15126" max="15126" width="10.6640625" style="733" customWidth="1"/>
    <col min="15127" max="15127" width="13.08203125" style="733" customWidth="1"/>
    <col min="15128" max="15128" width="10.6640625" style="733" customWidth="1"/>
    <col min="15129" max="15129" width="12.58203125" style="733" bestFit="1" customWidth="1"/>
    <col min="15130" max="15130" width="11.6640625" style="733" customWidth="1"/>
    <col min="15131" max="15137" width="0" style="733" hidden="1" customWidth="1"/>
    <col min="15138" max="15138" width="9.9140625" style="733" bestFit="1" customWidth="1"/>
    <col min="15139" max="15360" width="8.83203125" style="733"/>
    <col min="15361" max="15361" width="1.9140625" style="733" customWidth="1"/>
    <col min="15362" max="15362" width="22.4140625" style="733" customWidth="1"/>
    <col min="15363" max="15363" width="14.33203125" style="733" customWidth="1"/>
    <col min="15364" max="15364" width="10.6640625" style="733" customWidth="1"/>
    <col min="15365" max="15365" width="11.6640625" style="733" customWidth="1"/>
    <col min="15366" max="15366" width="11.1640625" style="733" customWidth="1"/>
    <col min="15367" max="15367" width="10.6640625" style="733" customWidth="1"/>
    <col min="15368" max="15379" width="0" style="733" hidden="1" customWidth="1"/>
    <col min="15380" max="15380" width="10.08203125" style="733" customWidth="1"/>
    <col min="15381" max="15381" width="12.08203125" style="733" customWidth="1"/>
    <col min="15382" max="15382" width="10.6640625" style="733" customWidth="1"/>
    <col min="15383" max="15383" width="13.08203125" style="733" customWidth="1"/>
    <col min="15384" max="15384" width="10.6640625" style="733" customWidth="1"/>
    <col min="15385" max="15385" width="12.58203125" style="733" bestFit="1" customWidth="1"/>
    <col min="15386" max="15386" width="11.6640625" style="733" customWidth="1"/>
    <col min="15387" max="15393" width="0" style="733" hidden="1" customWidth="1"/>
    <col min="15394" max="15394" width="9.9140625" style="733" bestFit="1" customWidth="1"/>
    <col min="15395" max="15616" width="8.83203125" style="733"/>
    <col min="15617" max="15617" width="1.9140625" style="733" customWidth="1"/>
    <col min="15618" max="15618" width="22.4140625" style="733" customWidth="1"/>
    <col min="15619" max="15619" width="14.33203125" style="733" customWidth="1"/>
    <col min="15620" max="15620" width="10.6640625" style="733" customWidth="1"/>
    <col min="15621" max="15621" width="11.6640625" style="733" customWidth="1"/>
    <col min="15622" max="15622" width="11.1640625" style="733" customWidth="1"/>
    <col min="15623" max="15623" width="10.6640625" style="733" customWidth="1"/>
    <col min="15624" max="15635" width="0" style="733" hidden="1" customWidth="1"/>
    <col min="15636" max="15636" width="10.08203125" style="733" customWidth="1"/>
    <col min="15637" max="15637" width="12.08203125" style="733" customWidth="1"/>
    <col min="15638" max="15638" width="10.6640625" style="733" customWidth="1"/>
    <col min="15639" max="15639" width="13.08203125" style="733" customWidth="1"/>
    <col min="15640" max="15640" width="10.6640625" style="733" customWidth="1"/>
    <col min="15641" max="15641" width="12.58203125" style="733" bestFit="1" customWidth="1"/>
    <col min="15642" max="15642" width="11.6640625" style="733" customWidth="1"/>
    <col min="15643" max="15649" width="0" style="733" hidden="1" customWidth="1"/>
    <col min="15650" max="15650" width="9.9140625" style="733" bestFit="1" customWidth="1"/>
    <col min="15651" max="15872" width="8.83203125" style="733"/>
    <col min="15873" max="15873" width="1.9140625" style="733" customWidth="1"/>
    <col min="15874" max="15874" width="22.4140625" style="733" customWidth="1"/>
    <col min="15875" max="15875" width="14.33203125" style="733" customWidth="1"/>
    <col min="15876" max="15876" width="10.6640625" style="733" customWidth="1"/>
    <col min="15877" max="15877" width="11.6640625" style="733" customWidth="1"/>
    <col min="15878" max="15878" width="11.1640625" style="733" customWidth="1"/>
    <col min="15879" max="15879" width="10.6640625" style="733" customWidth="1"/>
    <col min="15880" max="15891" width="0" style="733" hidden="1" customWidth="1"/>
    <col min="15892" max="15892" width="10.08203125" style="733" customWidth="1"/>
    <col min="15893" max="15893" width="12.08203125" style="733" customWidth="1"/>
    <col min="15894" max="15894" width="10.6640625" style="733" customWidth="1"/>
    <col min="15895" max="15895" width="13.08203125" style="733" customWidth="1"/>
    <col min="15896" max="15896" width="10.6640625" style="733" customWidth="1"/>
    <col min="15897" max="15897" width="12.58203125" style="733" bestFit="1" customWidth="1"/>
    <col min="15898" max="15898" width="11.6640625" style="733" customWidth="1"/>
    <col min="15899" max="15905" width="0" style="733" hidden="1" customWidth="1"/>
    <col min="15906" max="15906" width="9.9140625" style="733" bestFit="1" customWidth="1"/>
    <col min="15907" max="16128" width="8.83203125" style="733"/>
    <col min="16129" max="16129" width="1.9140625" style="733" customWidth="1"/>
    <col min="16130" max="16130" width="22.4140625" style="733" customWidth="1"/>
    <col min="16131" max="16131" width="14.33203125" style="733" customWidth="1"/>
    <col min="16132" max="16132" width="10.6640625" style="733" customWidth="1"/>
    <col min="16133" max="16133" width="11.6640625" style="733" customWidth="1"/>
    <col min="16134" max="16134" width="11.1640625" style="733" customWidth="1"/>
    <col min="16135" max="16135" width="10.6640625" style="733" customWidth="1"/>
    <col min="16136" max="16147" width="0" style="733" hidden="1" customWidth="1"/>
    <col min="16148" max="16148" width="10.08203125" style="733" customWidth="1"/>
    <col min="16149" max="16149" width="12.08203125" style="733" customWidth="1"/>
    <col min="16150" max="16150" width="10.6640625" style="733" customWidth="1"/>
    <col min="16151" max="16151" width="13.08203125" style="733" customWidth="1"/>
    <col min="16152" max="16152" width="10.6640625" style="733" customWidth="1"/>
    <col min="16153" max="16153" width="12.58203125" style="733" bestFit="1" customWidth="1"/>
    <col min="16154" max="16154" width="11.6640625" style="733" customWidth="1"/>
    <col min="16155" max="16161" width="0" style="733" hidden="1" customWidth="1"/>
    <col min="16162" max="16162" width="9.9140625" style="733" bestFit="1" customWidth="1"/>
    <col min="16163" max="16384" width="8.83203125" style="733"/>
  </cols>
  <sheetData>
    <row r="1" spans="1:34">
      <c r="B1" s="1276" t="s">
        <v>647</v>
      </c>
      <c r="C1" s="1277"/>
      <c r="D1" s="1152" t="s">
        <v>648</v>
      </c>
      <c r="E1" s="1152"/>
      <c r="F1" s="1153"/>
      <c r="G1" s="1154"/>
      <c r="O1" s="1155"/>
      <c r="P1" s="1155"/>
      <c r="Q1" s="1155"/>
      <c r="R1" s="1155"/>
      <c r="S1" s="1155"/>
      <c r="T1" s="1155"/>
      <c r="U1" s="1156"/>
      <c r="V1" s="1157"/>
      <c r="W1" s="1158" t="s">
        <v>649</v>
      </c>
      <c r="Y1" s="1153"/>
      <c r="Z1" s="1159" t="s">
        <v>650</v>
      </c>
      <c r="AA1" s="1160"/>
      <c r="AB1" s="1160"/>
      <c r="AC1" s="1160"/>
      <c r="AD1" s="1160"/>
      <c r="AE1" s="1160"/>
      <c r="AF1" s="1160"/>
      <c r="AG1" s="1160"/>
      <c r="AH1" s="1161">
        <f ca="1">TODAY()</f>
        <v>42849</v>
      </c>
    </row>
    <row r="2" spans="1:34" ht="15" thickBot="1">
      <c r="B2" s="1278" t="s">
        <v>651</v>
      </c>
      <c r="C2" s="1279"/>
      <c r="D2" s="1162" t="s">
        <v>652</v>
      </c>
      <c r="E2" s="1162"/>
      <c r="F2" s="1154"/>
      <c r="G2" s="1154"/>
      <c r="O2" s="1155"/>
      <c r="P2" s="1155"/>
      <c r="Q2" s="1155"/>
      <c r="R2" s="1155"/>
      <c r="S2" s="1155"/>
      <c r="T2" s="1155"/>
      <c r="V2" s="1163" t="s">
        <v>653</v>
      </c>
      <c r="W2" s="1158" t="s">
        <v>654</v>
      </c>
      <c r="X2" s="1163" t="s">
        <v>655</v>
      </c>
    </row>
    <row r="3" spans="1:34" ht="16.5" customHeight="1">
      <c r="B3" s="1280" t="s">
        <v>656</v>
      </c>
      <c r="C3" s="1281"/>
      <c r="O3" s="1164"/>
      <c r="P3" s="1164"/>
      <c r="Q3" s="1164"/>
      <c r="R3" s="1164"/>
      <c r="S3" s="1164"/>
      <c r="T3" s="1282" t="s">
        <v>657</v>
      </c>
      <c r="U3" s="1285" t="s">
        <v>658</v>
      </c>
      <c r="V3" s="1288" t="s">
        <v>659</v>
      </c>
      <c r="W3" s="1288" t="s">
        <v>660</v>
      </c>
      <c r="X3" s="1288" t="s">
        <v>661</v>
      </c>
      <c r="Y3" s="1299" t="s">
        <v>662</v>
      </c>
      <c r="AA3" s="1271" t="s">
        <v>663</v>
      </c>
    </row>
    <row r="4" spans="1:34" ht="15.75" customHeight="1" thickBot="1">
      <c r="B4" s="1165" t="s">
        <v>664</v>
      </c>
      <c r="C4" s="1165" t="s">
        <v>665</v>
      </c>
      <c r="D4" s="1166"/>
      <c r="E4" s="1166"/>
      <c r="F4" s="1166"/>
      <c r="G4" s="1166"/>
      <c r="H4" s="1166"/>
      <c r="I4" s="1166"/>
      <c r="J4" s="1166"/>
      <c r="K4" s="1166"/>
      <c r="L4" s="1166"/>
      <c r="M4" s="1166"/>
      <c r="N4" s="1166"/>
      <c r="O4" s="1164"/>
      <c r="P4" s="1164"/>
      <c r="Q4" s="1164"/>
      <c r="R4" s="1164"/>
      <c r="S4" s="1164"/>
      <c r="T4" s="1283"/>
      <c r="U4" s="1286"/>
      <c r="V4" s="1289"/>
      <c r="W4" s="1289"/>
      <c r="X4" s="1289"/>
      <c r="Y4" s="1300"/>
      <c r="AA4" s="1272"/>
    </row>
    <row r="5" spans="1:34" ht="11.25" customHeight="1" thickBot="1">
      <c r="A5" s="1167"/>
      <c r="B5" s="1274"/>
      <c r="C5" s="1274"/>
      <c r="D5" s="1274"/>
      <c r="E5" s="1274"/>
      <c r="F5" s="1274"/>
      <c r="G5" s="1274"/>
      <c r="H5" s="1274"/>
      <c r="I5" s="1274"/>
      <c r="J5" s="1274"/>
      <c r="K5" s="1274"/>
      <c r="L5" s="1274"/>
      <c r="M5" s="1274"/>
      <c r="N5" s="1274"/>
      <c r="O5" s="1168"/>
      <c r="P5" s="1168"/>
      <c r="Q5" s="1168"/>
      <c r="R5" s="1168"/>
      <c r="S5" s="1168"/>
      <c r="T5" s="1283"/>
      <c r="U5" s="1286"/>
      <c r="V5" s="1289"/>
      <c r="W5" s="1289"/>
      <c r="X5" s="1289"/>
      <c r="Y5" s="1300"/>
      <c r="AA5" s="1272"/>
    </row>
    <row r="6" spans="1:34" ht="22.5" customHeight="1" thickBot="1">
      <c r="B6" s="1169" t="s">
        <v>666</v>
      </c>
      <c r="C6" s="1170" t="s">
        <v>667</v>
      </c>
      <c r="D6" s="1170" t="s">
        <v>668</v>
      </c>
      <c r="E6" s="1170"/>
      <c r="F6" s="1170"/>
      <c r="G6" s="1170"/>
      <c r="H6" s="1170"/>
      <c r="I6" s="1170"/>
      <c r="J6" s="1170"/>
      <c r="K6" s="1170"/>
      <c r="L6" s="1170"/>
      <c r="M6" s="1170"/>
      <c r="N6" s="1170"/>
      <c r="O6" s="1170"/>
      <c r="P6" s="1170"/>
      <c r="Q6" s="1170"/>
      <c r="R6" s="1170"/>
      <c r="S6" s="1171"/>
      <c r="T6" s="1284"/>
      <c r="U6" s="1287"/>
      <c r="V6" s="1290"/>
      <c r="W6" s="1290"/>
      <c r="X6" s="1290"/>
      <c r="Y6" s="1301"/>
      <c r="AA6" s="1273"/>
    </row>
    <row r="7" spans="1:34" ht="15" thickBot="1">
      <c r="B7" s="1172" t="s">
        <v>669</v>
      </c>
      <c r="C7" s="1173">
        <v>108000</v>
      </c>
      <c r="D7" s="1173">
        <v>1867</v>
      </c>
      <c r="E7" s="1173"/>
      <c r="F7" s="1173"/>
      <c r="G7" s="1173"/>
      <c r="H7" s="1173"/>
      <c r="I7" s="1173"/>
      <c r="J7" s="1173"/>
      <c r="K7" s="1173"/>
      <c r="L7" s="1173"/>
      <c r="M7" s="1173"/>
      <c r="N7" s="1173"/>
      <c r="O7" s="1173"/>
      <c r="P7" s="1173"/>
      <c r="Q7" s="1173"/>
      <c r="R7" s="1173"/>
      <c r="S7" s="1173"/>
      <c r="T7" s="1174">
        <v>0</v>
      </c>
      <c r="U7" s="1175">
        <f>SUM(C7:T7)</f>
        <v>109867</v>
      </c>
      <c r="V7" s="1176"/>
      <c r="W7" s="1176"/>
      <c r="X7" s="1176"/>
      <c r="Y7" s="1176"/>
      <c r="AA7" s="1177">
        <f>U7</f>
        <v>109867</v>
      </c>
      <c r="AB7" s="733" t="s">
        <v>669</v>
      </c>
    </row>
    <row r="8" spans="1:34" s="1155" customFormat="1" ht="24.75" customHeight="1" thickBot="1">
      <c r="A8" s="1167"/>
      <c r="B8" s="1178" t="s">
        <v>670</v>
      </c>
      <c r="C8" s="1179"/>
      <c r="D8" s="1179"/>
      <c r="E8" s="1179"/>
      <c r="F8" s="1179"/>
      <c r="G8" s="1179"/>
      <c r="H8" s="1179"/>
      <c r="I8" s="1179"/>
      <c r="J8" s="1179"/>
      <c r="K8" s="1179"/>
      <c r="L8" s="1179"/>
      <c r="M8" s="1179"/>
      <c r="N8" s="1179"/>
      <c r="O8" s="1179"/>
      <c r="P8" s="1179"/>
      <c r="Q8" s="1179"/>
      <c r="R8" s="1179"/>
      <c r="S8" s="1179"/>
      <c r="T8" s="1179"/>
      <c r="U8" s="1180"/>
      <c r="V8" s="1181"/>
      <c r="W8" s="1181"/>
      <c r="X8" s="1181"/>
      <c r="Y8" s="1181"/>
    </row>
    <row r="9" spans="1:34" ht="15" thickBot="1">
      <c r="B9" s="1182" t="s">
        <v>671</v>
      </c>
      <c r="C9" s="1183">
        <v>100000</v>
      </c>
      <c r="D9" s="1183">
        <v>1729</v>
      </c>
      <c r="E9" s="1183"/>
      <c r="F9" s="1183"/>
      <c r="G9" s="1183"/>
      <c r="H9" s="1183"/>
      <c r="I9" s="1183"/>
      <c r="J9" s="1183"/>
      <c r="K9" s="1183"/>
      <c r="L9" s="1183"/>
      <c r="M9" s="1183"/>
      <c r="N9" s="1183"/>
      <c r="O9" s="1183"/>
      <c r="P9" s="1183"/>
      <c r="Q9" s="1183"/>
      <c r="R9" s="1183"/>
      <c r="S9" s="1183"/>
      <c r="T9" s="1184">
        <v>0</v>
      </c>
      <c r="U9" s="1185">
        <f>SUM(C9:T9)</f>
        <v>101729</v>
      </c>
      <c r="V9" s="1186">
        <v>0</v>
      </c>
      <c r="W9" s="1186">
        <v>0</v>
      </c>
      <c r="X9" s="1186">
        <v>0</v>
      </c>
      <c r="Y9" s="1187">
        <f>SUM(U9:X9)</f>
        <v>101729</v>
      </c>
      <c r="AA9" s="1188">
        <f>U9</f>
        <v>101729</v>
      </c>
      <c r="AB9" s="733" t="s">
        <v>672</v>
      </c>
    </row>
    <row r="10" spans="1:34" ht="15" thickBot="1">
      <c r="B10" s="1189" t="s">
        <v>673</v>
      </c>
      <c r="C10" s="1190">
        <v>8000</v>
      </c>
      <c r="D10" s="1190">
        <v>138</v>
      </c>
      <c r="E10" s="1190"/>
      <c r="F10" s="1190"/>
      <c r="G10" s="1190"/>
      <c r="H10" s="1190"/>
      <c r="I10" s="1190"/>
      <c r="J10" s="1190"/>
      <c r="K10" s="1190"/>
      <c r="L10" s="1190"/>
      <c r="M10" s="1190"/>
      <c r="N10" s="1190"/>
      <c r="O10" s="1190"/>
      <c r="P10" s="1190"/>
      <c r="Q10" s="1190"/>
      <c r="R10" s="1190"/>
      <c r="S10" s="1190"/>
      <c r="T10" s="1191">
        <v>0</v>
      </c>
      <c r="U10" s="1192">
        <f>SUM(C10:T10)</f>
        <v>8138</v>
      </c>
      <c r="V10" s="1193">
        <v>0</v>
      </c>
      <c r="W10" s="1194"/>
      <c r="X10" s="1194"/>
      <c r="Y10" s="1195">
        <f>SUM(U10:X10)</f>
        <v>8138</v>
      </c>
      <c r="AA10" s="1196">
        <f>U10</f>
        <v>8138</v>
      </c>
      <c r="AB10" s="733" t="s">
        <v>674</v>
      </c>
    </row>
    <row r="11" spans="1:34" ht="15" thickBot="1">
      <c r="B11" s="1197" t="s">
        <v>675</v>
      </c>
      <c r="C11" s="1190">
        <v>0</v>
      </c>
      <c r="D11" s="1198"/>
      <c r="E11" s="1190"/>
      <c r="F11" s="1190"/>
      <c r="G11" s="1198"/>
      <c r="H11" s="1198"/>
      <c r="I11" s="1198"/>
      <c r="J11" s="1190"/>
      <c r="K11" s="1198"/>
      <c r="L11" s="1198"/>
      <c r="M11" s="1198"/>
      <c r="N11" s="1198"/>
      <c r="O11" s="1198"/>
      <c r="P11" s="1198"/>
      <c r="Q11" s="1190"/>
      <c r="R11" s="1198"/>
      <c r="S11" s="1198"/>
      <c r="T11" s="1191">
        <v>0</v>
      </c>
      <c r="U11" s="1192">
        <f>SUM(C11:T11)</f>
        <v>0</v>
      </c>
      <c r="V11" s="1199"/>
      <c r="W11" s="1199"/>
      <c r="X11" s="1199"/>
      <c r="Y11" s="1199">
        <f>SUM(U11:X11)</f>
        <v>0</v>
      </c>
      <c r="AA11" s="1196">
        <f>U11</f>
        <v>0</v>
      </c>
      <c r="AB11" s="733" t="s">
        <v>676</v>
      </c>
    </row>
    <row r="12" spans="1:34" ht="15" thickBot="1">
      <c r="B12" s="1200" t="s">
        <v>72</v>
      </c>
      <c r="C12" s="1201">
        <f>SUM(C9:C11)</f>
        <v>108000</v>
      </c>
      <c r="D12" s="1201">
        <f>SUM(D9:D11)</f>
        <v>1867</v>
      </c>
      <c r="E12" s="1201">
        <f t="shared" ref="E12:N12" si="0">SUM(E9:E11)</f>
        <v>0</v>
      </c>
      <c r="F12" s="1201">
        <f t="shared" si="0"/>
        <v>0</v>
      </c>
      <c r="G12" s="1202">
        <f t="shared" si="0"/>
        <v>0</v>
      </c>
      <c r="H12" s="1202">
        <f t="shared" si="0"/>
        <v>0</v>
      </c>
      <c r="I12" s="1202">
        <f t="shared" si="0"/>
        <v>0</v>
      </c>
      <c r="J12" s="1203">
        <f t="shared" si="0"/>
        <v>0</v>
      </c>
      <c r="K12" s="1201">
        <f t="shared" si="0"/>
        <v>0</v>
      </c>
      <c r="L12" s="1201">
        <f t="shared" si="0"/>
        <v>0</v>
      </c>
      <c r="M12" s="1201">
        <f t="shared" si="0"/>
        <v>0</v>
      </c>
      <c r="N12" s="1201">
        <f t="shared" si="0"/>
        <v>0</v>
      </c>
      <c r="O12" s="1201">
        <f t="shared" ref="O12:T12" si="1">SUM(O9:O10)</f>
        <v>0</v>
      </c>
      <c r="P12" s="1201">
        <f t="shared" si="1"/>
        <v>0</v>
      </c>
      <c r="Q12" s="1203">
        <f t="shared" si="1"/>
        <v>0</v>
      </c>
      <c r="R12" s="1201">
        <f t="shared" si="1"/>
        <v>0</v>
      </c>
      <c r="S12" s="1201">
        <f t="shared" si="1"/>
        <v>0</v>
      </c>
      <c r="T12" s="1203">
        <f t="shared" si="1"/>
        <v>0</v>
      </c>
      <c r="U12" s="1204">
        <f>SUM(C12:T12)</f>
        <v>109867</v>
      </c>
      <c r="V12" s="1205">
        <f>SUM(V9:V10)</f>
        <v>0</v>
      </c>
      <c r="W12" s="1205">
        <f>SUM(W9:W10)</f>
        <v>0</v>
      </c>
      <c r="X12" s="1205">
        <f>SUM(X9:X10)</f>
        <v>0</v>
      </c>
      <c r="Y12" s="1205">
        <f>SUM(U12:X12)</f>
        <v>109867</v>
      </c>
    </row>
    <row r="13" spans="1:34" ht="10.5" customHeight="1" thickBot="1">
      <c r="A13" s="1167"/>
      <c r="B13" s="1206"/>
      <c r="C13" s="1206"/>
      <c r="D13" s="1206"/>
      <c r="E13" s="1206"/>
      <c r="F13" s="1206"/>
      <c r="G13" s="1206"/>
      <c r="H13" s="1206"/>
      <c r="I13" s="1206"/>
      <c r="J13" s="1206"/>
      <c r="K13" s="1206"/>
      <c r="L13" s="1206"/>
      <c r="M13" s="1206"/>
      <c r="N13" s="1206"/>
      <c r="O13" s="1206"/>
      <c r="P13" s="1206"/>
      <c r="Q13" s="1206"/>
      <c r="R13" s="1206"/>
      <c r="S13" s="1206"/>
      <c r="T13" s="1206"/>
      <c r="U13" s="1207"/>
      <c r="V13" s="1207"/>
      <c r="W13" s="1207"/>
      <c r="X13" s="1208"/>
      <c r="Y13" s="1207"/>
      <c r="Z13" s="1155"/>
      <c r="AA13" s="1209">
        <f>U12-U7</f>
        <v>0</v>
      </c>
      <c r="AB13" s="733" t="s">
        <v>472</v>
      </c>
    </row>
    <row r="14" spans="1:34" ht="31.5" customHeight="1" thickBot="1">
      <c r="B14" s="1210" t="s">
        <v>677</v>
      </c>
      <c r="C14" s="1211"/>
      <c r="D14" s="1212" t="s">
        <v>678</v>
      </c>
      <c r="E14" s="1212"/>
      <c r="F14" s="1212"/>
      <c r="G14" s="1211"/>
      <c r="H14" s="1211"/>
      <c r="I14" s="1211"/>
      <c r="J14" s="1211"/>
      <c r="K14" s="1211"/>
      <c r="L14" s="1211"/>
      <c r="M14" s="1211"/>
      <c r="N14" s="1211"/>
      <c r="O14" s="1211"/>
      <c r="P14" s="1211"/>
      <c r="Q14" s="1211"/>
      <c r="R14" s="1211"/>
      <c r="S14" s="1211"/>
      <c r="T14" s="1211"/>
      <c r="U14" s="1213"/>
      <c r="V14" s="1213"/>
      <c r="W14" s="1213"/>
      <c r="X14" s="1214"/>
      <c r="Y14" s="1215"/>
      <c r="AB14" s="1275" t="s">
        <v>679</v>
      </c>
      <c r="AC14" s="1275"/>
      <c r="AD14" s="1275"/>
      <c r="AE14" s="1275"/>
    </row>
    <row r="15" spans="1:34" ht="15" customHeight="1">
      <c r="B15" s="1216"/>
      <c r="C15" s="1217"/>
      <c r="D15" s="1218"/>
      <c r="E15" s="1218"/>
      <c r="F15" s="1218"/>
      <c r="G15" s="1219"/>
      <c r="H15" s="1219"/>
      <c r="I15" s="1216"/>
      <c r="J15" s="1216"/>
      <c r="K15" s="1216"/>
      <c r="L15" s="1216"/>
      <c r="M15" s="1216"/>
      <c r="N15" s="1216"/>
      <c r="O15" s="1216"/>
      <c r="P15" s="1216"/>
      <c r="Q15" s="1216"/>
      <c r="R15" s="1216"/>
      <c r="S15" s="1216"/>
      <c r="T15" s="1216"/>
      <c r="U15" s="1220">
        <f>U12-U7</f>
        <v>0</v>
      </c>
      <c r="V15" s="740" t="s">
        <v>472</v>
      </c>
      <c r="W15" s="1221"/>
      <c r="X15" s="1215"/>
      <c r="Y15" s="1215"/>
      <c r="AB15" s="1222"/>
      <c r="AC15" s="1222"/>
      <c r="AD15" s="1222"/>
      <c r="AE15" s="1222"/>
    </row>
    <row r="16" spans="1:34" ht="15.75" customHeight="1">
      <c r="A16" s="1223">
        <f>1</f>
        <v>1</v>
      </c>
      <c r="B16" s="1224" t="s">
        <v>680</v>
      </c>
      <c r="C16" s="1302"/>
      <c r="D16" s="1303"/>
      <c r="E16" s="1304"/>
      <c r="F16" s="1225"/>
      <c r="G16" s="1225"/>
      <c r="H16" s="1216"/>
      <c r="I16" s="1216"/>
      <c r="J16" s="1216"/>
      <c r="K16" s="1216"/>
      <c r="L16" s="1216"/>
      <c r="M16" s="1216"/>
      <c r="N16" s="1216"/>
      <c r="O16" s="1216"/>
      <c r="P16" s="1216"/>
      <c r="Q16" s="1216"/>
      <c r="R16" s="1216"/>
      <c r="S16" s="1216"/>
      <c r="T16" s="1216"/>
      <c r="U16" s="1216"/>
      <c r="V16" s="1226" t="s">
        <v>681</v>
      </c>
    </row>
    <row r="17" spans="1:31" ht="8.25" customHeight="1" thickBot="1">
      <c r="A17" s="1223"/>
      <c r="B17" s="1224"/>
      <c r="C17" s="1224"/>
      <c r="D17" s="1224"/>
      <c r="E17" s="1224"/>
      <c r="F17" s="1225"/>
      <c r="G17" s="1225"/>
      <c r="H17" s="1216"/>
      <c r="I17" s="1216"/>
      <c r="J17" s="1216"/>
      <c r="K17" s="1216"/>
      <c r="L17" s="1216"/>
      <c r="M17" s="1216"/>
      <c r="N17" s="1216"/>
      <c r="O17" s="1216"/>
      <c r="P17" s="1216"/>
      <c r="Q17" s="1216"/>
      <c r="R17" s="1216"/>
      <c r="S17" s="1216"/>
      <c r="T17" s="1216"/>
      <c r="U17" s="1216"/>
      <c r="V17" s="1226"/>
    </row>
    <row r="18" spans="1:31" ht="29.25" customHeight="1" thickBot="1">
      <c r="A18" s="1223">
        <v>2</v>
      </c>
      <c r="B18" s="1224" t="s">
        <v>682</v>
      </c>
      <c r="C18" s="1302"/>
      <c r="D18" s="1303"/>
      <c r="E18" s="1303"/>
      <c r="F18" s="1305" t="s">
        <v>683</v>
      </c>
      <c r="G18" s="1306"/>
      <c r="H18" s="1306"/>
      <c r="I18" s="1306"/>
      <c r="J18" s="1306"/>
      <c r="K18" s="1306"/>
      <c r="L18" s="1306"/>
      <c r="M18" s="1306"/>
      <c r="N18" s="1306"/>
      <c r="O18" s="1306"/>
      <c r="P18" s="1306"/>
      <c r="Q18" s="1306"/>
      <c r="R18" s="1306"/>
      <c r="S18" s="1306"/>
      <c r="T18" s="1306"/>
      <c r="U18" s="1227">
        <f>U7-T7</f>
        <v>109867</v>
      </c>
      <c r="V18" s="1226"/>
    </row>
    <row r="19" spans="1:31" s="1230" customFormat="1" ht="7.5" customHeight="1">
      <c r="A19" s="1228"/>
      <c r="B19" s="1216"/>
      <c r="C19" s="1217"/>
      <c r="D19" s="1218"/>
      <c r="E19" s="1218"/>
      <c r="F19" s="1218"/>
      <c r="G19" s="1219"/>
      <c r="H19" s="1219"/>
      <c r="I19" s="1216"/>
      <c r="J19" s="1216"/>
      <c r="K19" s="1216"/>
      <c r="L19" s="1216"/>
      <c r="M19" s="1216"/>
      <c r="N19" s="1216"/>
      <c r="O19" s="1216"/>
      <c r="P19" s="1216"/>
      <c r="Q19" s="1216"/>
      <c r="R19" s="1216"/>
      <c r="S19" s="1216"/>
      <c r="T19" s="1216"/>
      <c r="U19" s="1207"/>
      <c r="V19" s="1229"/>
      <c r="W19" s="1229"/>
      <c r="X19" s="1229"/>
      <c r="Y19" s="1229"/>
      <c r="AB19" s="1231"/>
      <c r="AC19" s="1231"/>
      <c r="AD19" s="1231"/>
      <c r="AE19" s="1231"/>
    </row>
    <row r="20" spans="1:31" ht="28.5" customHeight="1">
      <c r="A20" s="1223">
        <v>3</v>
      </c>
      <c r="B20" s="1232" t="s">
        <v>684</v>
      </c>
      <c r="C20" s="1302"/>
      <c r="D20" s="1303"/>
      <c r="E20" s="1304"/>
      <c r="F20" s="1225"/>
      <c r="G20" s="1225"/>
      <c r="H20" s="1216"/>
      <c r="I20" s="1216"/>
      <c r="J20" s="1216"/>
      <c r="K20" s="1216"/>
      <c r="L20" s="1216"/>
      <c r="M20" s="1216"/>
      <c r="N20" s="1216"/>
      <c r="O20" s="1216"/>
      <c r="P20" s="1216"/>
      <c r="Q20" s="1216"/>
      <c r="R20" s="1216"/>
      <c r="S20" s="1216"/>
      <c r="T20" s="1216"/>
      <c r="U20" s="1216"/>
    </row>
    <row r="21" spans="1:31" ht="12" customHeight="1">
      <c r="A21" s="1223"/>
      <c r="B21" s="1232"/>
      <c r="C21" s="1224"/>
      <c r="D21" s="1224"/>
      <c r="E21" s="1224"/>
      <c r="F21" s="1225"/>
      <c r="G21" s="1225"/>
      <c r="H21" s="1216"/>
      <c r="I21" s="1216"/>
      <c r="J21" s="1216"/>
      <c r="K21" s="1216"/>
      <c r="L21" s="1216"/>
      <c r="M21" s="1216"/>
      <c r="N21" s="1216"/>
      <c r="O21" s="1216"/>
      <c r="P21" s="1216"/>
      <c r="Q21" s="1216"/>
      <c r="R21" s="1216"/>
      <c r="S21" s="1216"/>
      <c r="T21" s="1216"/>
      <c r="U21" s="1216"/>
    </row>
    <row r="22" spans="1:31" ht="16.5" customHeight="1">
      <c r="A22" s="1223">
        <v>4</v>
      </c>
      <c r="B22" s="1224" t="s">
        <v>685</v>
      </c>
      <c r="C22" s="1233"/>
      <c r="D22" s="1225"/>
      <c r="E22" s="1307" t="str">
        <f>IF(C22&lt;&gt;"","Update the start date section on checklist","")</f>
        <v/>
      </c>
      <c r="F22" s="1307"/>
      <c r="G22" s="1307"/>
      <c r="H22" s="1307"/>
      <c r="I22" s="1307"/>
      <c r="J22" s="1307"/>
      <c r="K22" s="1307"/>
      <c r="L22" s="1307"/>
      <c r="M22" s="1307"/>
      <c r="N22" s="1307"/>
      <c r="O22" s="1307"/>
      <c r="P22" s="1307"/>
      <c r="Q22" s="1307"/>
      <c r="R22" s="1307"/>
      <c r="S22" s="1307"/>
      <c r="T22" s="1307"/>
      <c r="U22" s="1307"/>
    </row>
    <row r="23" spans="1:31" s="1237" customFormat="1" ht="9" customHeight="1">
      <c r="A23" s="1234"/>
      <c r="B23" s="1235"/>
      <c r="C23" s="1236"/>
      <c r="D23" s="1236"/>
      <c r="E23" s="1236"/>
      <c r="F23" s="1236"/>
      <c r="G23" s="1236"/>
      <c r="H23" s="1236"/>
      <c r="I23" s="1236"/>
      <c r="J23" s="1236"/>
      <c r="K23" s="1236"/>
      <c r="L23" s="1236"/>
      <c r="M23" s="1236"/>
      <c r="N23" s="1236"/>
      <c r="O23" s="1236"/>
      <c r="P23" s="1236"/>
      <c r="Q23" s="1236"/>
      <c r="R23" s="1236"/>
      <c r="S23" s="1236"/>
      <c r="T23" s="1236"/>
      <c r="U23" s="1236"/>
      <c r="V23" s="1236"/>
      <c r="W23" s="1236"/>
      <c r="X23" s="1236"/>
      <c r="Y23" s="1236"/>
    </row>
    <row r="24" spans="1:31" s="1237" customFormat="1" ht="28.5" hidden="1" customHeight="1">
      <c r="A24" s="1234"/>
      <c r="B24" s="1235" t="s">
        <v>686</v>
      </c>
      <c r="C24" s="1235" t="s">
        <v>687</v>
      </c>
      <c r="D24" s="1235" t="s">
        <v>688</v>
      </c>
      <c r="E24" s="1235" t="s">
        <v>689</v>
      </c>
      <c r="F24" s="1235" t="s">
        <v>690</v>
      </c>
      <c r="G24" s="1235" t="s">
        <v>691</v>
      </c>
      <c r="H24" s="1235"/>
      <c r="I24" s="1235"/>
      <c r="J24" s="1235"/>
      <c r="K24" s="1235"/>
      <c r="L24" s="1235"/>
      <c r="M24" s="1235"/>
      <c r="N24" s="1235"/>
      <c r="O24" s="1235"/>
      <c r="P24" s="1235"/>
      <c r="Q24" s="1235"/>
      <c r="R24" s="1235"/>
      <c r="S24" s="1235"/>
      <c r="T24" s="1235"/>
      <c r="U24" s="1235" t="s">
        <v>692</v>
      </c>
      <c r="V24" s="1235" t="s">
        <v>693</v>
      </c>
      <c r="W24" s="1235" t="s">
        <v>691</v>
      </c>
      <c r="X24" s="1235"/>
      <c r="Y24" s="1235"/>
    </row>
    <row r="25" spans="1:31" s="1237" customFormat="1" ht="30" customHeight="1">
      <c r="A25" s="1238">
        <v>5</v>
      </c>
      <c r="B25" s="1235" t="s">
        <v>694</v>
      </c>
      <c r="C25" s="1239" t="s">
        <v>691</v>
      </c>
      <c r="D25" s="1235"/>
      <c r="E25" s="1235"/>
      <c r="F25" s="1235"/>
      <c r="G25" s="1235"/>
      <c r="H25" s="1235"/>
      <c r="I25" s="1235"/>
      <c r="J25" s="1235"/>
      <c r="K25" s="1235"/>
      <c r="L25" s="1235"/>
      <c r="M25" s="1235"/>
      <c r="N25" s="1235"/>
      <c r="O25" s="1235"/>
      <c r="P25" s="1235"/>
      <c r="Q25" s="1235"/>
      <c r="R25" s="1235"/>
      <c r="S25" s="1235"/>
      <c r="T25" s="1235"/>
      <c r="U25" s="1291" t="s">
        <v>695</v>
      </c>
      <c r="V25" s="1292"/>
      <c r="W25" s="1235"/>
      <c r="X25" s="1235"/>
      <c r="Y25" s="1240"/>
    </row>
    <row r="26" spans="1:31" s="1242" customFormat="1" ht="8.25" customHeight="1">
      <c r="A26" s="1223"/>
      <c r="B26" s="1235"/>
      <c r="C26" s="1235"/>
      <c r="D26" s="1235"/>
      <c r="E26" s="1235"/>
      <c r="F26" s="1235"/>
      <c r="G26" s="1235"/>
      <c r="H26" s="1235"/>
      <c r="I26" s="1235"/>
      <c r="J26" s="1235"/>
      <c r="K26" s="1235"/>
      <c r="L26" s="1235"/>
      <c r="M26" s="1235"/>
      <c r="N26" s="1235"/>
      <c r="O26" s="1235"/>
      <c r="P26" s="1235"/>
      <c r="Q26" s="1235"/>
      <c r="R26" s="1235"/>
      <c r="S26" s="1235"/>
      <c r="T26" s="1235"/>
      <c r="U26" s="1293"/>
      <c r="V26" s="1294"/>
      <c r="W26" s="1235"/>
      <c r="X26" s="1235"/>
      <c r="Y26" s="1241"/>
    </row>
    <row r="27" spans="1:31" s="1244" customFormat="1" ht="16.5" customHeight="1">
      <c r="A27" s="1223">
        <v>6</v>
      </c>
      <c r="B27" s="1235" t="s">
        <v>696</v>
      </c>
      <c r="C27" s="1297" t="s">
        <v>688</v>
      </c>
      <c r="D27" s="1298"/>
      <c r="E27" s="1235"/>
      <c r="F27" s="1235"/>
      <c r="G27" s="1235"/>
      <c r="H27" s="1235"/>
      <c r="I27" s="1235"/>
      <c r="J27" s="1235"/>
      <c r="K27" s="1235"/>
      <c r="L27" s="1235"/>
      <c r="M27" s="1235"/>
      <c r="N27" s="1235"/>
      <c r="O27" s="1235"/>
      <c r="P27" s="1235"/>
      <c r="Q27" s="1235"/>
      <c r="R27" s="1235"/>
      <c r="S27" s="1235"/>
      <c r="T27" s="1235"/>
      <c r="U27" s="1293"/>
      <c r="V27" s="1294"/>
      <c r="W27" s="1235"/>
      <c r="X27" s="1243"/>
      <c r="Y27" s="1243"/>
    </row>
    <row r="28" spans="1:31" s="1247" customFormat="1" ht="3.75" customHeight="1">
      <c r="A28" s="1245"/>
      <c r="B28" s="1235"/>
      <c r="C28" s="1235"/>
      <c r="D28" s="1235"/>
      <c r="E28" s="1235"/>
      <c r="F28" s="1235"/>
      <c r="G28" s="1235"/>
      <c r="H28" s="1235"/>
      <c r="I28" s="1235"/>
      <c r="J28" s="1235"/>
      <c r="K28" s="1235"/>
      <c r="L28" s="1235"/>
      <c r="M28" s="1235"/>
      <c r="N28" s="1235"/>
      <c r="O28" s="1235"/>
      <c r="P28" s="1235"/>
      <c r="Q28" s="1235"/>
      <c r="R28" s="1235"/>
      <c r="S28" s="1235"/>
      <c r="T28" s="1235"/>
      <c r="U28" s="1293"/>
      <c r="V28" s="1294"/>
      <c r="W28" s="1235"/>
      <c r="X28" s="1246"/>
      <c r="Y28" s="1246"/>
    </row>
    <row r="29" spans="1:31" s="1156" customFormat="1" ht="15" customHeight="1">
      <c r="A29" s="1223">
        <v>7</v>
      </c>
      <c r="B29" s="740" t="s">
        <v>697</v>
      </c>
      <c r="C29" s="740"/>
      <c r="E29" s="1248" t="s">
        <v>698</v>
      </c>
      <c r="G29" s="740"/>
      <c r="H29" s="740"/>
      <c r="I29" s="740"/>
      <c r="J29" s="740"/>
      <c r="K29" s="740"/>
      <c r="L29" s="740"/>
      <c r="M29" s="740"/>
      <c r="N29" s="740"/>
      <c r="O29" s="740"/>
      <c r="P29" s="740"/>
      <c r="Q29" s="740"/>
      <c r="R29" s="740"/>
      <c r="S29" s="740"/>
      <c r="T29" s="740"/>
      <c r="U29" s="1295"/>
      <c r="V29" s="1296"/>
      <c r="W29" s="740"/>
      <c r="X29" s="740"/>
      <c r="Y29" s="740"/>
    </row>
    <row r="30" spans="1:31" s="1156" customFormat="1" hidden="1">
      <c r="A30" s="1249"/>
      <c r="B30" s="740" t="s">
        <v>699</v>
      </c>
      <c r="C30" s="740" t="s">
        <v>698</v>
      </c>
      <c r="D30" s="740" t="s">
        <v>691</v>
      </c>
      <c r="E30" s="740"/>
      <c r="F30" s="740"/>
      <c r="G30" s="740"/>
      <c r="H30" s="740"/>
      <c r="I30" s="740"/>
      <c r="J30" s="740"/>
      <c r="K30" s="740"/>
      <c r="L30" s="740"/>
      <c r="M30" s="740"/>
      <c r="N30" s="740"/>
      <c r="O30" s="740"/>
      <c r="P30" s="740"/>
      <c r="Q30" s="740"/>
      <c r="R30" s="740"/>
      <c r="S30" s="740"/>
      <c r="T30" s="740"/>
      <c r="U30" s="740"/>
      <c r="V30" s="740"/>
      <c r="W30" s="740"/>
      <c r="X30" s="740"/>
      <c r="Y30" s="740"/>
    </row>
    <row r="31" spans="1:31" s="1156" customFormat="1" ht="8.25" customHeight="1">
      <c r="A31" s="1249"/>
      <c r="B31" s="740"/>
      <c r="C31" s="740"/>
      <c r="D31" s="740"/>
      <c r="E31" s="740"/>
      <c r="F31" s="740"/>
      <c r="G31" s="740"/>
      <c r="H31" s="740"/>
      <c r="I31" s="740"/>
      <c r="J31" s="740"/>
      <c r="K31" s="740"/>
      <c r="L31" s="740"/>
      <c r="M31" s="740"/>
      <c r="N31" s="740"/>
      <c r="O31" s="740"/>
      <c r="P31" s="740"/>
      <c r="Q31" s="740"/>
      <c r="R31" s="740"/>
      <c r="S31" s="740"/>
      <c r="T31" s="740"/>
      <c r="U31" s="740"/>
      <c r="V31" s="740"/>
      <c r="W31" s="740"/>
      <c r="X31" s="740"/>
      <c r="Y31" s="740"/>
    </row>
    <row r="32" spans="1:31" ht="13.5" customHeight="1">
      <c r="A32" s="1223">
        <v>8</v>
      </c>
      <c r="B32" s="740" t="s">
        <v>700</v>
      </c>
      <c r="C32" s="740"/>
      <c r="D32" s="740"/>
      <c r="E32" s="740"/>
      <c r="F32" s="740"/>
      <c r="G32" s="740"/>
      <c r="H32" s="740"/>
      <c r="I32" s="740"/>
      <c r="J32" s="740"/>
      <c r="K32" s="740"/>
      <c r="L32" s="740"/>
      <c r="M32" s="740"/>
      <c r="N32" s="740"/>
      <c r="O32" s="740"/>
      <c r="P32" s="740"/>
      <c r="Q32" s="740"/>
      <c r="R32" s="740"/>
      <c r="S32" s="740"/>
      <c r="T32" s="740"/>
      <c r="U32" s="740"/>
      <c r="V32" s="740"/>
      <c r="W32" s="740"/>
      <c r="X32" s="740"/>
      <c r="Y32" s="740"/>
    </row>
    <row r="33" spans="1:25" ht="2.25" customHeight="1">
      <c r="A33" s="1249"/>
      <c r="C33" s="740"/>
      <c r="D33" s="740"/>
      <c r="E33" s="740"/>
      <c r="F33" s="740"/>
      <c r="G33" s="740"/>
      <c r="H33" s="740"/>
      <c r="I33" s="740"/>
      <c r="J33" s="740"/>
      <c r="K33" s="740"/>
      <c r="L33" s="740"/>
      <c r="M33" s="740"/>
      <c r="N33" s="740"/>
      <c r="O33" s="740"/>
      <c r="P33" s="740"/>
      <c r="Q33" s="740"/>
      <c r="R33" s="740"/>
      <c r="S33" s="740"/>
      <c r="T33" s="740"/>
      <c r="U33" s="740"/>
      <c r="V33" s="740"/>
      <c r="W33" s="740"/>
      <c r="X33" s="740"/>
      <c r="Y33" s="740"/>
    </row>
    <row r="34" spans="1:25" ht="15" customHeight="1">
      <c r="B34" s="1250" t="s">
        <v>701</v>
      </c>
      <c r="C34" s="1251" t="s">
        <v>702</v>
      </c>
      <c r="D34" s="1252"/>
      <c r="E34" s="1253"/>
      <c r="F34" s="740"/>
      <c r="G34" s="740"/>
      <c r="H34" s="740"/>
      <c r="I34" s="740"/>
      <c r="J34" s="740"/>
      <c r="K34" s="740"/>
      <c r="L34" s="740"/>
      <c r="M34" s="740"/>
      <c r="N34" s="740"/>
      <c r="O34" s="740"/>
      <c r="P34" s="740"/>
      <c r="Q34" s="740"/>
      <c r="R34" s="740"/>
      <c r="S34" s="740"/>
      <c r="T34" s="740"/>
      <c r="U34" s="740"/>
      <c r="V34" s="740"/>
      <c r="W34" s="740"/>
      <c r="X34" s="740"/>
      <c r="Y34" s="740"/>
    </row>
    <row r="35" spans="1:25" ht="24" hidden="1" customHeight="1">
      <c r="B35" s="1254" t="s">
        <v>703</v>
      </c>
      <c r="C35" s="1255" t="s">
        <v>704</v>
      </c>
      <c r="D35" s="1255" t="s">
        <v>705</v>
      </c>
      <c r="E35" s="1256" t="s">
        <v>706</v>
      </c>
      <c r="F35" s="740" t="s">
        <v>707</v>
      </c>
      <c r="G35" s="740" t="s">
        <v>708</v>
      </c>
      <c r="H35" s="740" t="s">
        <v>709</v>
      </c>
      <c r="I35" s="740" t="s">
        <v>710</v>
      </c>
      <c r="J35" s="740"/>
      <c r="K35" s="740"/>
      <c r="L35" s="740"/>
      <c r="M35" s="740"/>
      <c r="N35" s="740"/>
      <c r="O35" s="740"/>
      <c r="P35" s="740"/>
      <c r="Q35" s="740"/>
      <c r="R35" s="740"/>
      <c r="S35" s="740"/>
      <c r="T35" s="740"/>
      <c r="U35" s="740"/>
      <c r="V35" s="740"/>
      <c r="W35" s="740"/>
      <c r="X35" s="740"/>
      <c r="Y35" s="740"/>
    </row>
    <row r="36" spans="1:25" ht="24" customHeight="1">
      <c r="B36" s="1257" t="s">
        <v>711</v>
      </c>
      <c r="C36" s="1248" t="s">
        <v>704</v>
      </c>
      <c r="D36" s="1255"/>
      <c r="E36" s="1256"/>
      <c r="F36" s="740"/>
      <c r="G36" s="740"/>
      <c r="H36" s="740"/>
      <c r="I36" s="740"/>
      <c r="J36" s="740"/>
      <c r="K36" s="740"/>
      <c r="L36" s="740"/>
      <c r="M36" s="740"/>
      <c r="N36" s="740"/>
      <c r="O36" s="740"/>
      <c r="P36" s="740"/>
      <c r="Q36" s="740"/>
      <c r="R36" s="740"/>
      <c r="S36" s="740"/>
      <c r="T36" s="740"/>
      <c r="U36" s="740"/>
      <c r="V36" s="740"/>
      <c r="W36" s="740"/>
      <c r="X36" s="740"/>
      <c r="Y36" s="740"/>
    </row>
    <row r="37" spans="1:25" ht="15.75" customHeight="1">
      <c r="B37" s="1258" t="s">
        <v>712</v>
      </c>
      <c r="C37" s="1255" t="s">
        <v>713</v>
      </c>
      <c r="D37" s="1255"/>
      <c r="E37" s="1256"/>
      <c r="F37" s="740"/>
      <c r="G37" s="740"/>
      <c r="H37" s="740"/>
      <c r="I37" s="740"/>
      <c r="J37" s="740"/>
      <c r="K37" s="740"/>
      <c r="L37" s="740"/>
      <c r="M37" s="740"/>
      <c r="N37" s="740"/>
      <c r="O37" s="740"/>
      <c r="P37" s="740"/>
      <c r="Q37" s="740"/>
      <c r="R37" s="740"/>
      <c r="S37" s="740"/>
      <c r="T37" s="1259"/>
      <c r="U37" s="740"/>
      <c r="V37" s="740"/>
      <c r="W37" s="740"/>
      <c r="X37" s="740"/>
    </row>
    <row r="38" spans="1:25" ht="15.75" customHeight="1">
      <c r="B38" s="1258"/>
      <c r="C38" s="1255"/>
      <c r="D38" s="1255"/>
      <c r="E38" s="1256"/>
      <c r="F38" s="740"/>
      <c r="G38" s="740"/>
      <c r="H38" s="740"/>
      <c r="I38" s="740"/>
      <c r="J38" s="740"/>
      <c r="K38" s="740"/>
      <c r="L38" s="740"/>
      <c r="M38" s="740"/>
      <c r="N38" s="740"/>
      <c r="O38" s="740"/>
      <c r="P38" s="740"/>
      <c r="Q38" s="740"/>
      <c r="R38" s="740"/>
      <c r="S38" s="740"/>
      <c r="T38" s="1259"/>
      <c r="U38" s="740"/>
      <c r="V38" s="740"/>
      <c r="W38" s="740"/>
      <c r="X38" s="740"/>
    </row>
    <row r="39" spans="1:25" ht="15.75" customHeight="1">
      <c r="B39" s="1258"/>
      <c r="C39" s="1255"/>
      <c r="D39" s="1255"/>
      <c r="E39" s="1256"/>
      <c r="F39" s="740"/>
      <c r="G39" s="740"/>
      <c r="H39" s="740"/>
      <c r="I39" s="740"/>
      <c r="J39" s="740"/>
      <c r="K39" s="740"/>
      <c r="L39" s="740"/>
      <c r="M39" s="740"/>
      <c r="N39" s="740"/>
      <c r="O39" s="740"/>
      <c r="P39" s="740"/>
      <c r="Q39" s="740"/>
      <c r="R39" s="740"/>
      <c r="S39" s="740"/>
      <c r="T39" s="1259"/>
      <c r="U39" s="740"/>
      <c r="V39" s="740"/>
      <c r="W39" s="740"/>
      <c r="X39" s="740"/>
    </row>
    <row r="40" spans="1:25" ht="15.75" customHeight="1">
      <c r="B40" s="1258"/>
      <c r="C40" s="1255"/>
      <c r="D40" s="1255"/>
      <c r="E40" s="1256"/>
      <c r="F40" s="740"/>
      <c r="G40" s="740"/>
      <c r="H40" s="740"/>
      <c r="I40" s="740"/>
      <c r="J40" s="740"/>
      <c r="K40" s="740"/>
      <c r="L40" s="740"/>
      <c r="M40" s="740"/>
      <c r="N40" s="740"/>
      <c r="O40" s="740"/>
      <c r="P40" s="740"/>
      <c r="Q40" s="740"/>
      <c r="R40" s="740"/>
      <c r="S40" s="740"/>
      <c r="T40" s="1259"/>
      <c r="U40" s="740"/>
      <c r="V40" s="740"/>
      <c r="W40" s="740"/>
      <c r="X40" s="740"/>
    </row>
    <row r="41" spans="1:25" ht="15.75" customHeight="1">
      <c r="B41" s="1258"/>
      <c r="C41" s="1255"/>
      <c r="D41" s="1255"/>
      <c r="E41" s="1256"/>
      <c r="F41" s="740"/>
      <c r="G41" s="740"/>
      <c r="H41" s="740"/>
      <c r="I41" s="740"/>
      <c r="J41" s="740"/>
      <c r="K41" s="740"/>
      <c r="L41" s="740"/>
      <c r="M41" s="740"/>
      <c r="N41" s="740"/>
      <c r="O41" s="740"/>
      <c r="P41" s="740"/>
      <c r="Q41" s="740"/>
      <c r="R41" s="740"/>
      <c r="S41" s="740"/>
      <c r="T41" s="1259"/>
      <c r="U41" s="740"/>
      <c r="V41" s="740"/>
      <c r="W41" s="740"/>
      <c r="X41" s="740"/>
    </row>
    <row r="42" spans="1:25" ht="15.75" customHeight="1">
      <c r="B42" s="1258"/>
      <c r="C42" s="1255"/>
      <c r="D42" s="1255"/>
      <c r="E42" s="1256"/>
      <c r="F42" s="740"/>
      <c r="G42" s="740"/>
      <c r="H42" s="740"/>
      <c r="I42" s="740"/>
      <c r="J42" s="740"/>
      <c r="K42" s="740"/>
      <c r="L42" s="740"/>
      <c r="M42" s="740"/>
      <c r="N42" s="740"/>
      <c r="O42" s="740"/>
      <c r="P42" s="740"/>
      <c r="Q42" s="740"/>
      <c r="R42" s="740"/>
      <c r="S42" s="740"/>
      <c r="T42" s="1259"/>
      <c r="U42" s="740"/>
      <c r="V42" s="740"/>
      <c r="W42" s="740"/>
      <c r="X42" s="740"/>
    </row>
    <row r="43" spans="1:25" ht="15.75" customHeight="1">
      <c r="B43" s="1258"/>
      <c r="C43" s="1255"/>
      <c r="D43" s="1255"/>
      <c r="E43" s="1256"/>
      <c r="F43" s="740"/>
      <c r="G43" s="740"/>
      <c r="H43" s="740"/>
      <c r="I43" s="740"/>
      <c r="J43" s="740"/>
      <c r="K43" s="740"/>
      <c r="L43" s="740"/>
      <c r="M43" s="740"/>
      <c r="N43" s="740"/>
      <c r="O43" s="740"/>
      <c r="P43" s="740"/>
      <c r="Q43" s="740"/>
      <c r="R43" s="740"/>
      <c r="S43" s="740"/>
      <c r="T43" s="1259"/>
      <c r="U43" s="740"/>
      <c r="V43" s="740"/>
      <c r="W43" s="740"/>
      <c r="X43" s="740"/>
    </row>
    <row r="44" spans="1:25" ht="15.75" customHeight="1">
      <c r="B44" s="1260"/>
      <c r="C44" s="1261"/>
      <c r="D44" s="1261"/>
      <c r="E44" s="1262"/>
      <c r="F44" s="740"/>
      <c r="G44" s="740"/>
      <c r="H44" s="740"/>
      <c r="I44" s="740"/>
      <c r="J44" s="740"/>
      <c r="K44" s="740"/>
      <c r="L44" s="740"/>
      <c r="M44" s="740"/>
      <c r="N44" s="740"/>
      <c r="O44" s="740"/>
      <c r="P44" s="740"/>
      <c r="Q44" s="740"/>
      <c r="R44" s="740"/>
      <c r="S44" s="740"/>
      <c r="T44" s="1259"/>
      <c r="U44" s="740"/>
      <c r="V44" s="740"/>
      <c r="W44" s="740"/>
      <c r="X44" s="740"/>
    </row>
    <row r="45" spans="1:25" ht="15.75" customHeight="1">
      <c r="B45" s="1263"/>
      <c r="C45" s="1255"/>
      <c r="D45" s="1255"/>
      <c r="E45" s="1255"/>
      <c r="F45" s="740"/>
      <c r="G45" s="740"/>
      <c r="H45" s="740"/>
      <c r="I45" s="740"/>
      <c r="J45" s="740"/>
      <c r="K45" s="740"/>
      <c r="L45" s="740"/>
      <c r="M45" s="740"/>
      <c r="N45" s="740"/>
      <c r="O45" s="740"/>
      <c r="P45" s="740"/>
      <c r="Q45" s="740"/>
      <c r="R45" s="740"/>
      <c r="S45" s="740"/>
      <c r="T45" s="1259"/>
      <c r="U45" s="740"/>
      <c r="V45" s="740"/>
      <c r="W45" s="740"/>
      <c r="X45" s="740"/>
    </row>
    <row r="46" spans="1:25" ht="12.75" customHeight="1">
      <c r="B46" s="740"/>
      <c r="C46" s="740"/>
      <c r="D46" s="740"/>
      <c r="E46" s="740"/>
      <c r="F46" s="740"/>
      <c r="G46" s="740"/>
      <c r="H46" s="740"/>
      <c r="I46" s="740"/>
      <c r="J46" s="740"/>
      <c r="K46" s="740"/>
      <c r="L46" s="740"/>
      <c r="M46" s="740"/>
      <c r="N46" s="740"/>
      <c r="O46" s="740"/>
      <c r="P46" s="740"/>
      <c r="Q46" s="740"/>
      <c r="R46" s="740"/>
      <c r="S46" s="740"/>
      <c r="T46" s="740"/>
      <c r="U46" s="740"/>
      <c r="V46" s="740"/>
      <c r="W46" s="740"/>
      <c r="X46" s="740"/>
      <c r="Y46" s="740"/>
    </row>
    <row r="47" spans="1:25">
      <c r="A47" s="1223">
        <v>9</v>
      </c>
      <c r="B47" s="1250" t="s">
        <v>714</v>
      </c>
      <c r="C47" s="1251" t="s">
        <v>715</v>
      </c>
      <c r="D47" s="1251"/>
      <c r="E47" s="1264" t="s">
        <v>716</v>
      </c>
      <c r="F47" s="740"/>
      <c r="G47" s="740"/>
      <c r="H47" s="740"/>
      <c r="I47" s="740"/>
      <c r="J47" s="740"/>
      <c r="K47" s="740"/>
      <c r="L47" s="740"/>
      <c r="M47" s="740"/>
      <c r="N47" s="740"/>
      <c r="O47" s="740"/>
      <c r="P47" s="740"/>
      <c r="Q47" s="740"/>
      <c r="R47" s="740"/>
      <c r="S47" s="740"/>
      <c r="T47" s="740"/>
      <c r="U47" s="740"/>
      <c r="V47" s="740"/>
      <c r="W47" s="740"/>
      <c r="X47" s="740"/>
      <c r="Y47" s="740"/>
    </row>
    <row r="48" spans="1:25" ht="15.6">
      <c r="B48" s="1265" t="s">
        <v>717</v>
      </c>
      <c r="C48" s="1266" t="s">
        <v>718</v>
      </c>
      <c r="D48" s="1266"/>
      <c r="E48" s="1267" t="s">
        <v>719</v>
      </c>
      <c r="F48" s="740"/>
      <c r="G48" s="740"/>
      <c r="H48" s="740"/>
      <c r="I48" s="740"/>
      <c r="J48" s="740"/>
      <c r="K48" s="740"/>
      <c r="L48" s="740"/>
      <c r="M48" s="740"/>
      <c r="N48" s="740"/>
      <c r="O48" s="740"/>
      <c r="P48" s="740"/>
      <c r="Q48" s="740"/>
      <c r="R48" s="740"/>
      <c r="S48" s="740"/>
      <c r="T48" s="740"/>
      <c r="U48" s="740"/>
      <c r="V48" s="740"/>
      <c r="W48" s="740"/>
      <c r="X48" s="740"/>
      <c r="Y48" s="740"/>
    </row>
    <row r="49" spans="2:25">
      <c r="B49" s="740"/>
      <c r="C49" s="740"/>
      <c r="D49" s="740"/>
      <c r="E49" s="740"/>
      <c r="F49" s="740"/>
      <c r="G49" s="740"/>
      <c r="H49" s="740"/>
      <c r="I49" s="740"/>
      <c r="J49" s="740"/>
      <c r="K49" s="740"/>
      <c r="L49" s="740"/>
      <c r="M49" s="740"/>
      <c r="N49" s="740"/>
      <c r="O49" s="740"/>
      <c r="P49" s="740"/>
      <c r="Q49" s="740"/>
      <c r="R49" s="740"/>
      <c r="S49" s="740"/>
      <c r="T49" s="740"/>
      <c r="U49" s="740"/>
      <c r="V49" s="740"/>
      <c r="W49" s="740"/>
      <c r="X49" s="740"/>
      <c r="Y49" s="740"/>
    </row>
    <row r="50" spans="2:25">
      <c r="B50" s="740"/>
      <c r="C50" s="740"/>
      <c r="D50" s="740"/>
      <c r="E50" s="740"/>
      <c r="F50" s="740"/>
      <c r="G50" s="740"/>
      <c r="H50" s="740"/>
      <c r="I50" s="740"/>
      <c r="J50" s="740"/>
      <c r="K50" s="740"/>
      <c r="L50" s="740"/>
      <c r="M50" s="740"/>
      <c r="N50" s="740"/>
      <c r="O50" s="740"/>
      <c r="P50" s="740"/>
      <c r="Q50" s="740"/>
      <c r="R50" s="740"/>
      <c r="S50" s="740"/>
      <c r="T50" s="740"/>
      <c r="U50" s="740"/>
      <c r="V50" s="740"/>
      <c r="W50" s="740"/>
      <c r="X50" s="740"/>
      <c r="Y50" s="740"/>
    </row>
    <row r="51" spans="2:25">
      <c r="B51" s="740"/>
      <c r="C51" s="740"/>
      <c r="D51" s="740"/>
      <c r="E51" s="740"/>
      <c r="F51" s="740"/>
      <c r="G51" s="740"/>
      <c r="H51" s="740"/>
      <c r="I51" s="740"/>
      <c r="J51" s="740"/>
      <c r="K51" s="740"/>
      <c r="L51" s="740"/>
      <c r="M51" s="740"/>
      <c r="N51" s="740"/>
      <c r="O51" s="740"/>
      <c r="P51" s="740"/>
      <c r="Q51" s="740"/>
      <c r="R51" s="740"/>
      <c r="S51" s="740"/>
      <c r="T51" s="740"/>
      <c r="U51" s="740"/>
      <c r="V51" s="740"/>
      <c r="W51" s="740"/>
      <c r="X51" s="740"/>
      <c r="Y51" s="740"/>
    </row>
    <row r="52" spans="2:25">
      <c r="B52" s="740"/>
      <c r="C52" s="740"/>
      <c r="D52" s="740"/>
      <c r="E52" s="740"/>
      <c r="F52" s="740"/>
      <c r="G52" s="740"/>
      <c r="H52" s="740"/>
      <c r="I52" s="740"/>
      <c r="J52" s="740"/>
      <c r="K52" s="740"/>
      <c r="L52" s="740"/>
      <c r="M52" s="740"/>
      <c r="N52" s="740"/>
      <c r="O52" s="740"/>
      <c r="P52" s="740"/>
      <c r="Q52" s="740"/>
      <c r="R52" s="740"/>
      <c r="S52" s="740"/>
      <c r="T52" s="740"/>
      <c r="U52" s="740"/>
      <c r="V52" s="740"/>
      <c r="W52" s="740"/>
      <c r="X52" s="740"/>
      <c r="Y52" s="740"/>
    </row>
    <row r="53" spans="2:25">
      <c r="B53" s="740"/>
      <c r="C53" s="740"/>
      <c r="D53" s="740"/>
      <c r="E53" s="740"/>
      <c r="F53" s="740"/>
      <c r="G53" s="740"/>
      <c r="H53" s="740"/>
      <c r="I53" s="740"/>
      <c r="J53" s="740"/>
      <c r="K53" s="740"/>
      <c r="L53" s="740"/>
      <c r="M53" s="740"/>
      <c r="N53" s="740"/>
      <c r="O53" s="740"/>
      <c r="P53" s="740"/>
      <c r="Q53" s="740"/>
      <c r="R53" s="740"/>
      <c r="S53" s="740"/>
      <c r="T53" s="740"/>
      <c r="U53" s="740"/>
      <c r="V53" s="740"/>
      <c r="W53" s="740"/>
      <c r="X53" s="740"/>
      <c r="Y53" s="740"/>
    </row>
    <row r="54" spans="2:25">
      <c r="B54" s="740"/>
      <c r="C54" s="740"/>
      <c r="D54" s="740"/>
      <c r="E54" s="740"/>
      <c r="F54" s="740"/>
      <c r="G54" s="740"/>
      <c r="H54" s="740"/>
      <c r="I54" s="740"/>
      <c r="J54" s="740"/>
      <c r="K54" s="740"/>
      <c r="L54" s="740"/>
      <c r="M54" s="740"/>
      <c r="N54" s="740"/>
      <c r="O54" s="740"/>
      <c r="P54" s="740"/>
      <c r="Q54" s="740"/>
      <c r="R54" s="740"/>
      <c r="S54" s="740"/>
      <c r="T54" s="740"/>
      <c r="U54" s="740"/>
      <c r="V54" s="740"/>
      <c r="W54" s="740"/>
      <c r="X54" s="740"/>
      <c r="Y54" s="740"/>
    </row>
    <row r="103" spans="2:3" ht="18.600000000000001">
      <c r="B103" s="1268"/>
      <c r="C103" s="1268"/>
    </row>
    <row r="111" spans="2:3">
      <c r="C111" s="1269"/>
    </row>
    <row r="116" spans="2:3">
      <c r="C116" s="1270"/>
    </row>
    <row r="117" spans="2:3" ht="18.600000000000001">
      <c r="B117" s="1268"/>
      <c r="C117" s="1270"/>
    </row>
    <row r="135" spans="2:2" ht="18.600000000000001">
      <c r="B135" s="1268"/>
    </row>
    <row r="145" spans="2:2" ht="18.600000000000001">
      <c r="B145" s="1268"/>
    </row>
  </sheetData>
  <mergeCells count="19">
    <mergeCell ref="U25:V29"/>
    <mergeCell ref="C27:D27"/>
    <mergeCell ref="W3:W6"/>
    <mergeCell ref="X3:X6"/>
    <mergeCell ref="Y3:Y6"/>
    <mergeCell ref="C16:E16"/>
    <mergeCell ref="C18:E18"/>
    <mergeCell ref="F18:T18"/>
    <mergeCell ref="C20:E20"/>
    <mergeCell ref="E22:U22"/>
    <mergeCell ref="AA3:AA6"/>
    <mergeCell ref="B5:N5"/>
    <mergeCell ref="AB14:AE14"/>
    <mergeCell ref="B1:C1"/>
    <mergeCell ref="B2:C2"/>
    <mergeCell ref="B3:C3"/>
    <mergeCell ref="T3:T6"/>
    <mergeCell ref="U3:U6"/>
    <mergeCell ref="V3:V6"/>
  </mergeCells>
  <dataValidations count="5">
    <dataValidation type="list" allowBlank="1" showInputMessage="1" showErrorMessage="1" sqref="C27 IY27 SU27 ACQ27 AMM27 AWI27 BGE27 BQA27 BZW27 CJS27 CTO27 DDK27 DNG27 DXC27 EGY27 EQU27 FAQ27 FKM27 FUI27 GEE27 GOA27 GXW27 HHS27 HRO27 IBK27 ILG27 IVC27 JEY27 JOU27 JYQ27 KIM27 KSI27 LCE27 LMA27 LVW27 MFS27 MPO27 MZK27 NJG27 NTC27 OCY27 OMU27 OWQ27 PGM27 PQI27 QAE27 QKA27 QTW27 RDS27 RNO27 RXK27 SHG27 SRC27 TAY27 TKU27 TUQ27 UEM27 UOI27 UYE27 VIA27 VRW27 WBS27 WLO27 WVK27 C65563 IY65563 SU65563 ACQ65563 AMM65563 AWI65563 BGE65563 BQA65563 BZW65563 CJS65563 CTO65563 DDK65563 DNG65563 DXC65563 EGY65563 EQU65563 FAQ65563 FKM65563 FUI65563 GEE65563 GOA65563 GXW65563 HHS65563 HRO65563 IBK65563 ILG65563 IVC65563 JEY65563 JOU65563 JYQ65563 KIM65563 KSI65563 LCE65563 LMA65563 LVW65563 MFS65563 MPO65563 MZK65563 NJG65563 NTC65563 OCY65563 OMU65563 OWQ65563 PGM65563 PQI65563 QAE65563 QKA65563 QTW65563 RDS65563 RNO65563 RXK65563 SHG65563 SRC65563 TAY65563 TKU65563 TUQ65563 UEM65563 UOI65563 UYE65563 VIA65563 VRW65563 WBS65563 WLO65563 WVK65563 C131099 IY131099 SU131099 ACQ131099 AMM131099 AWI131099 BGE131099 BQA131099 BZW131099 CJS131099 CTO131099 DDK131099 DNG131099 DXC131099 EGY131099 EQU131099 FAQ131099 FKM131099 FUI131099 GEE131099 GOA131099 GXW131099 HHS131099 HRO131099 IBK131099 ILG131099 IVC131099 JEY131099 JOU131099 JYQ131099 KIM131099 KSI131099 LCE131099 LMA131099 LVW131099 MFS131099 MPO131099 MZK131099 NJG131099 NTC131099 OCY131099 OMU131099 OWQ131099 PGM131099 PQI131099 QAE131099 QKA131099 QTW131099 RDS131099 RNO131099 RXK131099 SHG131099 SRC131099 TAY131099 TKU131099 TUQ131099 UEM131099 UOI131099 UYE131099 VIA131099 VRW131099 WBS131099 WLO131099 WVK131099 C196635 IY196635 SU196635 ACQ196635 AMM196635 AWI196635 BGE196635 BQA196635 BZW196635 CJS196635 CTO196635 DDK196635 DNG196635 DXC196635 EGY196635 EQU196635 FAQ196635 FKM196635 FUI196635 GEE196635 GOA196635 GXW196635 HHS196635 HRO196635 IBK196635 ILG196635 IVC196635 JEY196635 JOU196635 JYQ196635 KIM196635 KSI196635 LCE196635 LMA196635 LVW196635 MFS196635 MPO196635 MZK196635 NJG196635 NTC196635 OCY196635 OMU196635 OWQ196635 PGM196635 PQI196635 QAE196635 QKA196635 QTW196635 RDS196635 RNO196635 RXK196635 SHG196635 SRC196635 TAY196635 TKU196635 TUQ196635 UEM196635 UOI196635 UYE196635 VIA196635 VRW196635 WBS196635 WLO196635 WVK196635 C262171 IY262171 SU262171 ACQ262171 AMM262171 AWI262171 BGE262171 BQA262171 BZW262171 CJS262171 CTO262171 DDK262171 DNG262171 DXC262171 EGY262171 EQU262171 FAQ262171 FKM262171 FUI262171 GEE262171 GOA262171 GXW262171 HHS262171 HRO262171 IBK262171 ILG262171 IVC262171 JEY262171 JOU262171 JYQ262171 KIM262171 KSI262171 LCE262171 LMA262171 LVW262171 MFS262171 MPO262171 MZK262171 NJG262171 NTC262171 OCY262171 OMU262171 OWQ262171 PGM262171 PQI262171 QAE262171 QKA262171 QTW262171 RDS262171 RNO262171 RXK262171 SHG262171 SRC262171 TAY262171 TKU262171 TUQ262171 UEM262171 UOI262171 UYE262171 VIA262171 VRW262171 WBS262171 WLO262171 WVK262171 C327707 IY327707 SU327707 ACQ327707 AMM327707 AWI327707 BGE327707 BQA327707 BZW327707 CJS327707 CTO327707 DDK327707 DNG327707 DXC327707 EGY327707 EQU327707 FAQ327707 FKM327707 FUI327707 GEE327707 GOA327707 GXW327707 HHS327707 HRO327707 IBK327707 ILG327707 IVC327707 JEY327707 JOU327707 JYQ327707 KIM327707 KSI327707 LCE327707 LMA327707 LVW327707 MFS327707 MPO327707 MZK327707 NJG327707 NTC327707 OCY327707 OMU327707 OWQ327707 PGM327707 PQI327707 QAE327707 QKA327707 QTW327707 RDS327707 RNO327707 RXK327707 SHG327707 SRC327707 TAY327707 TKU327707 TUQ327707 UEM327707 UOI327707 UYE327707 VIA327707 VRW327707 WBS327707 WLO327707 WVK327707 C393243 IY393243 SU393243 ACQ393243 AMM393243 AWI393243 BGE393243 BQA393243 BZW393243 CJS393243 CTO393243 DDK393243 DNG393243 DXC393243 EGY393243 EQU393243 FAQ393243 FKM393243 FUI393243 GEE393243 GOA393243 GXW393243 HHS393243 HRO393243 IBK393243 ILG393243 IVC393243 JEY393243 JOU393243 JYQ393243 KIM393243 KSI393243 LCE393243 LMA393243 LVW393243 MFS393243 MPO393243 MZK393243 NJG393243 NTC393243 OCY393243 OMU393243 OWQ393243 PGM393243 PQI393243 QAE393243 QKA393243 QTW393243 RDS393243 RNO393243 RXK393243 SHG393243 SRC393243 TAY393243 TKU393243 TUQ393243 UEM393243 UOI393243 UYE393243 VIA393243 VRW393243 WBS393243 WLO393243 WVK393243 C458779 IY458779 SU458779 ACQ458779 AMM458779 AWI458779 BGE458779 BQA458779 BZW458779 CJS458779 CTO458779 DDK458779 DNG458779 DXC458779 EGY458779 EQU458779 FAQ458779 FKM458779 FUI458779 GEE458779 GOA458779 GXW458779 HHS458779 HRO458779 IBK458779 ILG458779 IVC458779 JEY458779 JOU458779 JYQ458779 KIM458779 KSI458779 LCE458779 LMA458779 LVW458779 MFS458779 MPO458779 MZK458779 NJG458779 NTC458779 OCY458779 OMU458779 OWQ458779 PGM458779 PQI458779 QAE458779 QKA458779 QTW458779 RDS458779 RNO458779 RXK458779 SHG458779 SRC458779 TAY458779 TKU458779 TUQ458779 UEM458779 UOI458779 UYE458779 VIA458779 VRW458779 WBS458779 WLO458779 WVK458779 C524315 IY524315 SU524315 ACQ524315 AMM524315 AWI524315 BGE524315 BQA524315 BZW524315 CJS524315 CTO524315 DDK524315 DNG524315 DXC524315 EGY524315 EQU524315 FAQ524315 FKM524315 FUI524315 GEE524315 GOA524315 GXW524315 HHS524315 HRO524315 IBK524315 ILG524315 IVC524315 JEY524315 JOU524315 JYQ524315 KIM524315 KSI524315 LCE524315 LMA524315 LVW524315 MFS524315 MPO524315 MZK524315 NJG524315 NTC524315 OCY524315 OMU524315 OWQ524315 PGM524315 PQI524315 QAE524315 QKA524315 QTW524315 RDS524315 RNO524315 RXK524315 SHG524315 SRC524315 TAY524315 TKU524315 TUQ524315 UEM524315 UOI524315 UYE524315 VIA524315 VRW524315 WBS524315 WLO524315 WVK524315 C589851 IY589851 SU589851 ACQ589851 AMM589851 AWI589851 BGE589851 BQA589851 BZW589851 CJS589851 CTO589851 DDK589851 DNG589851 DXC589851 EGY589851 EQU589851 FAQ589851 FKM589851 FUI589851 GEE589851 GOA589851 GXW589851 HHS589851 HRO589851 IBK589851 ILG589851 IVC589851 JEY589851 JOU589851 JYQ589851 KIM589851 KSI589851 LCE589851 LMA589851 LVW589851 MFS589851 MPO589851 MZK589851 NJG589851 NTC589851 OCY589851 OMU589851 OWQ589851 PGM589851 PQI589851 QAE589851 QKA589851 QTW589851 RDS589851 RNO589851 RXK589851 SHG589851 SRC589851 TAY589851 TKU589851 TUQ589851 UEM589851 UOI589851 UYE589851 VIA589851 VRW589851 WBS589851 WLO589851 WVK589851 C655387 IY655387 SU655387 ACQ655387 AMM655387 AWI655387 BGE655387 BQA655387 BZW655387 CJS655387 CTO655387 DDK655387 DNG655387 DXC655387 EGY655387 EQU655387 FAQ655387 FKM655387 FUI655387 GEE655387 GOA655387 GXW655387 HHS655387 HRO655387 IBK655387 ILG655387 IVC655387 JEY655387 JOU655387 JYQ655387 KIM655387 KSI655387 LCE655387 LMA655387 LVW655387 MFS655387 MPO655387 MZK655387 NJG655387 NTC655387 OCY655387 OMU655387 OWQ655387 PGM655387 PQI655387 QAE655387 QKA655387 QTW655387 RDS655387 RNO655387 RXK655387 SHG655387 SRC655387 TAY655387 TKU655387 TUQ655387 UEM655387 UOI655387 UYE655387 VIA655387 VRW655387 WBS655387 WLO655387 WVK655387 C720923 IY720923 SU720923 ACQ720923 AMM720923 AWI720923 BGE720923 BQA720923 BZW720923 CJS720923 CTO720923 DDK720923 DNG720923 DXC720923 EGY720923 EQU720923 FAQ720923 FKM720923 FUI720923 GEE720923 GOA720923 GXW720923 HHS720923 HRO720923 IBK720923 ILG720923 IVC720923 JEY720923 JOU720923 JYQ720923 KIM720923 KSI720923 LCE720923 LMA720923 LVW720923 MFS720923 MPO720923 MZK720923 NJG720923 NTC720923 OCY720923 OMU720923 OWQ720923 PGM720923 PQI720923 QAE720923 QKA720923 QTW720923 RDS720923 RNO720923 RXK720923 SHG720923 SRC720923 TAY720923 TKU720923 TUQ720923 UEM720923 UOI720923 UYE720923 VIA720923 VRW720923 WBS720923 WLO720923 WVK720923 C786459 IY786459 SU786459 ACQ786459 AMM786459 AWI786459 BGE786459 BQA786459 BZW786459 CJS786459 CTO786459 DDK786459 DNG786459 DXC786459 EGY786459 EQU786459 FAQ786459 FKM786459 FUI786459 GEE786459 GOA786459 GXW786459 HHS786459 HRO786459 IBK786459 ILG786459 IVC786459 JEY786459 JOU786459 JYQ786459 KIM786459 KSI786459 LCE786459 LMA786459 LVW786459 MFS786459 MPO786459 MZK786459 NJG786459 NTC786459 OCY786459 OMU786459 OWQ786459 PGM786459 PQI786459 QAE786459 QKA786459 QTW786459 RDS786459 RNO786459 RXK786459 SHG786459 SRC786459 TAY786459 TKU786459 TUQ786459 UEM786459 UOI786459 UYE786459 VIA786459 VRW786459 WBS786459 WLO786459 WVK786459 C851995 IY851995 SU851995 ACQ851995 AMM851995 AWI851995 BGE851995 BQA851995 BZW851995 CJS851995 CTO851995 DDK851995 DNG851995 DXC851995 EGY851995 EQU851995 FAQ851995 FKM851995 FUI851995 GEE851995 GOA851995 GXW851995 HHS851995 HRO851995 IBK851995 ILG851995 IVC851995 JEY851995 JOU851995 JYQ851995 KIM851995 KSI851995 LCE851995 LMA851995 LVW851995 MFS851995 MPO851995 MZK851995 NJG851995 NTC851995 OCY851995 OMU851995 OWQ851995 PGM851995 PQI851995 QAE851995 QKA851995 QTW851995 RDS851995 RNO851995 RXK851995 SHG851995 SRC851995 TAY851995 TKU851995 TUQ851995 UEM851995 UOI851995 UYE851995 VIA851995 VRW851995 WBS851995 WLO851995 WVK851995 C917531 IY917531 SU917531 ACQ917531 AMM917531 AWI917531 BGE917531 BQA917531 BZW917531 CJS917531 CTO917531 DDK917531 DNG917531 DXC917531 EGY917531 EQU917531 FAQ917531 FKM917531 FUI917531 GEE917531 GOA917531 GXW917531 HHS917531 HRO917531 IBK917531 ILG917531 IVC917531 JEY917531 JOU917531 JYQ917531 KIM917531 KSI917531 LCE917531 LMA917531 LVW917531 MFS917531 MPO917531 MZK917531 NJG917531 NTC917531 OCY917531 OMU917531 OWQ917531 PGM917531 PQI917531 QAE917531 QKA917531 QTW917531 RDS917531 RNO917531 RXK917531 SHG917531 SRC917531 TAY917531 TKU917531 TUQ917531 UEM917531 UOI917531 UYE917531 VIA917531 VRW917531 WBS917531 WLO917531 WVK917531 C983067 IY983067 SU983067 ACQ983067 AMM983067 AWI983067 BGE983067 BQA983067 BZW983067 CJS983067 CTO983067 DDK983067 DNG983067 DXC983067 EGY983067 EQU983067 FAQ983067 FKM983067 FUI983067 GEE983067 GOA983067 GXW983067 HHS983067 HRO983067 IBK983067 ILG983067 IVC983067 JEY983067 JOU983067 JYQ983067 KIM983067 KSI983067 LCE983067 LMA983067 LVW983067 MFS983067 MPO983067 MZK983067 NJG983067 NTC983067 OCY983067 OMU983067 OWQ983067 PGM983067 PQI983067 QAE983067 QKA983067 QTW983067 RDS983067 RNO983067 RXK983067 SHG983067 SRC983067 TAY983067 TKU983067 TUQ983067 UEM983067 UOI983067 UYE983067 VIA983067 VRW983067 WBS983067 WLO983067 WVK983067">
      <formula1>B24:G24</formula1>
    </dataValidation>
    <dataValidation type="list" allowBlank="1" showInputMessage="1" showErrorMessage="1" sqref="C36 IY36 SU36 ACQ36 AMM36 AWI36 BGE36 BQA36 BZW36 CJS36 CTO36 DDK36 DNG36 DXC36 EGY36 EQU36 FAQ36 FKM36 FUI36 GEE36 GOA36 GXW36 HHS36 HRO36 IBK36 ILG36 IVC36 JEY36 JOU36 JYQ36 KIM36 KSI36 LCE36 LMA36 LVW36 MFS36 MPO36 MZK36 NJG36 NTC36 OCY36 OMU36 OWQ36 PGM36 PQI36 QAE36 QKA36 QTW36 RDS36 RNO36 RXK36 SHG36 SRC36 TAY36 TKU36 TUQ36 UEM36 UOI36 UYE36 VIA36 VRW36 WBS36 WLO36 WVK36 C65572 IY65572 SU65572 ACQ65572 AMM65572 AWI65572 BGE65572 BQA65572 BZW65572 CJS65572 CTO65572 DDK65572 DNG65572 DXC65572 EGY65572 EQU65572 FAQ65572 FKM65572 FUI65572 GEE65572 GOA65572 GXW65572 HHS65572 HRO65572 IBK65572 ILG65572 IVC65572 JEY65572 JOU65572 JYQ65572 KIM65572 KSI65572 LCE65572 LMA65572 LVW65572 MFS65572 MPO65572 MZK65572 NJG65572 NTC65572 OCY65572 OMU65572 OWQ65572 PGM65572 PQI65572 QAE65572 QKA65572 QTW65572 RDS65572 RNO65572 RXK65572 SHG65572 SRC65572 TAY65572 TKU65572 TUQ65572 UEM65572 UOI65572 UYE65572 VIA65572 VRW65572 WBS65572 WLO65572 WVK65572 C131108 IY131108 SU131108 ACQ131108 AMM131108 AWI131108 BGE131108 BQA131108 BZW131108 CJS131108 CTO131108 DDK131108 DNG131108 DXC131108 EGY131108 EQU131108 FAQ131108 FKM131108 FUI131108 GEE131108 GOA131108 GXW131108 HHS131108 HRO131108 IBK131108 ILG131108 IVC131108 JEY131108 JOU131108 JYQ131108 KIM131108 KSI131108 LCE131108 LMA131108 LVW131108 MFS131108 MPO131108 MZK131108 NJG131108 NTC131108 OCY131108 OMU131108 OWQ131108 PGM131108 PQI131108 QAE131108 QKA131108 QTW131108 RDS131108 RNO131108 RXK131108 SHG131108 SRC131108 TAY131108 TKU131108 TUQ131108 UEM131108 UOI131108 UYE131108 VIA131108 VRW131108 WBS131108 WLO131108 WVK131108 C196644 IY196644 SU196644 ACQ196644 AMM196644 AWI196644 BGE196644 BQA196644 BZW196644 CJS196644 CTO196644 DDK196644 DNG196644 DXC196644 EGY196644 EQU196644 FAQ196644 FKM196644 FUI196644 GEE196644 GOA196644 GXW196644 HHS196644 HRO196644 IBK196644 ILG196644 IVC196644 JEY196644 JOU196644 JYQ196644 KIM196644 KSI196644 LCE196644 LMA196644 LVW196644 MFS196644 MPO196644 MZK196644 NJG196644 NTC196644 OCY196644 OMU196644 OWQ196644 PGM196644 PQI196644 QAE196644 QKA196644 QTW196644 RDS196644 RNO196644 RXK196644 SHG196644 SRC196644 TAY196644 TKU196644 TUQ196644 UEM196644 UOI196644 UYE196644 VIA196644 VRW196644 WBS196644 WLO196644 WVK196644 C262180 IY262180 SU262180 ACQ262180 AMM262180 AWI262180 BGE262180 BQA262180 BZW262180 CJS262180 CTO262180 DDK262180 DNG262180 DXC262180 EGY262180 EQU262180 FAQ262180 FKM262180 FUI262180 GEE262180 GOA262180 GXW262180 HHS262180 HRO262180 IBK262180 ILG262180 IVC262180 JEY262180 JOU262180 JYQ262180 KIM262180 KSI262180 LCE262180 LMA262180 LVW262180 MFS262180 MPO262180 MZK262180 NJG262180 NTC262180 OCY262180 OMU262180 OWQ262180 PGM262180 PQI262180 QAE262180 QKA262180 QTW262180 RDS262180 RNO262180 RXK262180 SHG262180 SRC262180 TAY262180 TKU262180 TUQ262180 UEM262180 UOI262180 UYE262180 VIA262180 VRW262180 WBS262180 WLO262180 WVK262180 C327716 IY327716 SU327716 ACQ327716 AMM327716 AWI327716 BGE327716 BQA327716 BZW327716 CJS327716 CTO327716 DDK327716 DNG327716 DXC327716 EGY327716 EQU327716 FAQ327716 FKM327716 FUI327716 GEE327716 GOA327716 GXW327716 HHS327716 HRO327716 IBK327716 ILG327716 IVC327716 JEY327716 JOU327716 JYQ327716 KIM327716 KSI327716 LCE327716 LMA327716 LVW327716 MFS327716 MPO327716 MZK327716 NJG327716 NTC327716 OCY327716 OMU327716 OWQ327716 PGM327716 PQI327716 QAE327716 QKA327716 QTW327716 RDS327716 RNO327716 RXK327716 SHG327716 SRC327716 TAY327716 TKU327716 TUQ327716 UEM327716 UOI327716 UYE327716 VIA327716 VRW327716 WBS327716 WLO327716 WVK327716 C393252 IY393252 SU393252 ACQ393252 AMM393252 AWI393252 BGE393252 BQA393252 BZW393252 CJS393252 CTO393252 DDK393252 DNG393252 DXC393252 EGY393252 EQU393252 FAQ393252 FKM393252 FUI393252 GEE393252 GOA393252 GXW393252 HHS393252 HRO393252 IBK393252 ILG393252 IVC393252 JEY393252 JOU393252 JYQ393252 KIM393252 KSI393252 LCE393252 LMA393252 LVW393252 MFS393252 MPO393252 MZK393252 NJG393252 NTC393252 OCY393252 OMU393252 OWQ393252 PGM393252 PQI393252 QAE393252 QKA393252 QTW393252 RDS393252 RNO393252 RXK393252 SHG393252 SRC393252 TAY393252 TKU393252 TUQ393252 UEM393252 UOI393252 UYE393252 VIA393252 VRW393252 WBS393252 WLO393252 WVK393252 C458788 IY458788 SU458788 ACQ458788 AMM458788 AWI458788 BGE458788 BQA458788 BZW458788 CJS458788 CTO458788 DDK458788 DNG458788 DXC458788 EGY458788 EQU458788 FAQ458788 FKM458788 FUI458788 GEE458788 GOA458788 GXW458788 HHS458788 HRO458788 IBK458788 ILG458788 IVC458788 JEY458788 JOU458788 JYQ458788 KIM458788 KSI458788 LCE458788 LMA458788 LVW458788 MFS458788 MPO458788 MZK458788 NJG458788 NTC458788 OCY458788 OMU458788 OWQ458788 PGM458788 PQI458788 QAE458788 QKA458788 QTW458788 RDS458788 RNO458788 RXK458788 SHG458788 SRC458788 TAY458788 TKU458788 TUQ458788 UEM458788 UOI458788 UYE458788 VIA458788 VRW458788 WBS458788 WLO458788 WVK458788 C524324 IY524324 SU524324 ACQ524324 AMM524324 AWI524324 BGE524324 BQA524324 BZW524324 CJS524324 CTO524324 DDK524324 DNG524324 DXC524324 EGY524324 EQU524324 FAQ524324 FKM524324 FUI524324 GEE524324 GOA524324 GXW524324 HHS524324 HRO524324 IBK524324 ILG524324 IVC524324 JEY524324 JOU524324 JYQ524324 KIM524324 KSI524324 LCE524324 LMA524324 LVW524324 MFS524324 MPO524324 MZK524324 NJG524324 NTC524324 OCY524324 OMU524324 OWQ524324 PGM524324 PQI524324 QAE524324 QKA524324 QTW524324 RDS524324 RNO524324 RXK524324 SHG524324 SRC524324 TAY524324 TKU524324 TUQ524324 UEM524324 UOI524324 UYE524324 VIA524324 VRW524324 WBS524324 WLO524324 WVK524324 C589860 IY589860 SU589860 ACQ589860 AMM589860 AWI589860 BGE589860 BQA589860 BZW589860 CJS589860 CTO589860 DDK589860 DNG589860 DXC589860 EGY589860 EQU589860 FAQ589860 FKM589860 FUI589860 GEE589860 GOA589860 GXW589860 HHS589860 HRO589860 IBK589860 ILG589860 IVC589860 JEY589860 JOU589860 JYQ589860 KIM589860 KSI589860 LCE589860 LMA589860 LVW589860 MFS589860 MPO589860 MZK589860 NJG589860 NTC589860 OCY589860 OMU589860 OWQ589860 PGM589860 PQI589860 QAE589860 QKA589860 QTW589860 RDS589860 RNO589860 RXK589860 SHG589860 SRC589860 TAY589860 TKU589860 TUQ589860 UEM589860 UOI589860 UYE589860 VIA589860 VRW589860 WBS589860 WLO589860 WVK589860 C655396 IY655396 SU655396 ACQ655396 AMM655396 AWI655396 BGE655396 BQA655396 BZW655396 CJS655396 CTO655396 DDK655396 DNG655396 DXC655396 EGY655396 EQU655396 FAQ655396 FKM655396 FUI655396 GEE655396 GOA655396 GXW655396 HHS655396 HRO655396 IBK655396 ILG655396 IVC655396 JEY655396 JOU655396 JYQ655396 KIM655396 KSI655396 LCE655396 LMA655396 LVW655396 MFS655396 MPO655396 MZK655396 NJG655396 NTC655396 OCY655396 OMU655396 OWQ655396 PGM655396 PQI655396 QAE655396 QKA655396 QTW655396 RDS655396 RNO655396 RXK655396 SHG655396 SRC655396 TAY655396 TKU655396 TUQ655396 UEM655396 UOI655396 UYE655396 VIA655396 VRW655396 WBS655396 WLO655396 WVK655396 C720932 IY720932 SU720932 ACQ720932 AMM720932 AWI720932 BGE720932 BQA720932 BZW720932 CJS720932 CTO720932 DDK720932 DNG720932 DXC720932 EGY720932 EQU720932 FAQ720932 FKM720932 FUI720932 GEE720932 GOA720932 GXW720932 HHS720932 HRO720932 IBK720932 ILG720932 IVC720932 JEY720932 JOU720932 JYQ720932 KIM720932 KSI720932 LCE720932 LMA720932 LVW720932 MFS720932 MPO720932 MZK720932 NJG720932 NTC720932 OCY720932 OMU720932 OWQ720932 PGM720932 PQI720932 QAE720932 QKA720932 QTW720932 RDS720932 RNO720932 RXK720932 SHG720932 SRC720932 TAY720932 TKU720932 TUQ720932 UEM720932 UOI720932 UYE720932 VIA720932 VRW720932 WBS720932 WLO720932 WVK720932 C786468 IY786468 SU786468 ACQ786468 AMM786468 AWI786468 BGE786468 BQA786468 BZW786468 CJS786468 CTO786468 DDK786468 DNG786468 DXC786468 EGY786468 EQU786468 FAQ786468 FKM786468 FUI786468 GEE786468 GOA786468 GXW786468 HHS786468 HRO786468 IBK786468 ILG786468 IVC786468 JEY786468 JOU786468 JYQ786468 KIM786468 KSI786468 LCE786468 LMA786468 LVW786468 MFS786468 MPO786468 MZK786468 NJG786468 NTC786468 OCY786468 OMU786468 OWQ786468 PGM786468 PQI786468 QAE786468 QKA786468 QTW786468 RDS786468 RNO786468 RXK786468 SHG786468 SRC786468 TAY786468 TKU786468 TUQ786468 UEM786468 UOI786468 UYE786468 VIA786468 VRW786468 WBS786468 WLO786468 WVK786468 C852004 IY852004 SU852004 ACQ852004 AMM852004 AWI852004 BGE852004 BQA852004 BZW852004 CJS852004 CTO852004 DDK852004 DNG852004 DXC852004 EGY852004 EQU852004 FAQ852004 FKM852004 FUI852004 GEE852004 GOA852004 GXW852004 HHS852004 HRO852004 IBK852004 ILG852004 IVC852004 JEY852004 JOU852004 JYQ852004 KIM852004 KSI852004 LCE852004 LMA852004 LVW852004 MFS852004 MPO852004 MZK852004 NJG852004 NTC852004 OCY852004 OMU852004 OWQ852004 PGM852004 PQI852004 QAE852004 QKA852004 QTW852004 RDS852004 RNO852004 RXK852004 SHG852004 SRC852004 TAY852004 TKU852004 TUQ852004 UEM852004 UOI852004 UYE852004 VIA852004 VRW852004 WBS852004 WLO852004 WVK852004 C917540 IY917540 SU917540 ACQ917540 AMM917540 AWI917540 BGE917540 BQA917540 BZW917540 CJS917540 CTO917540 DDK917540 DNG917540 DXC917540 EGY917540 EQU917540 FAQ917540 FKM917540 FUI917540 GEE917540 GOA917540 GXW917540 HHS917540 HRO917540 IBK917540 ILG917540 IVC917540 JEY917540 JOU917540 JYQ917540 KIM917540 KSI917540 LCE917540 LMA917540 LVW917540 MFS917540 MPO917540 MZK917540 NJG917540 NTC917540 OCY917540 OMU917540 OWQ917540 PGM917540 PQI917540 QAE917540 QKA917540 QTW917540 RDS917540 RNO917540 RXK917540 SHG917540 SRC917540 TAY917540 TKU917540 TUQ917540 UEM917540 UOI917540 UYE917540 VIA917540 VRW917540 WBS917540 WLO917540 WVK917540 C983076 IY983076 SU983076 ACQ983076 AMM983076 AWI983076 BGE983076 BQA983076 BZW983076 CJS983076 CTO983076 DDK983076 DNG983076 DXC983076 EGY983076 EQU983076 FAQ983076 FKM983076 FUI983076 GEE983076 GOA983076 GXW983076 HHS983076 HRO983076 IBK983076 ILG983076 IVC983076 JEY983076 JOU983076 JYQ983076 KIM983076 KSI983076 LCE983076 LMA983076 LVW983076 MFS983076 MPO983076 MZK983076 NJG983076 NTC983076 OCY983076 OMU983076 OWQ983076 PGM983076 PQI983076 QAE983076 QKA983076 QTW983076 RDS983076 RNO983076 RXK983076 SHG983076 SRC983076 TAY983076 TKU983076 TUQ983076 UEM983076 UOI983076 UYE983076 VIA983076 VRW983076 WBS983076 WLO983076 WVK983076">
      <formula1>Web_Upload</formula1>
    </dataValidation>
    <dataValidation type="list" allowBlank="1" showInputMessage="1" showErrorMessage="1" sqref="C28 IY28 SU28 ACQ28 AMM28 AWI28 BGE28 BQA28 BZW28 CJS28 CTO28 DDK28 DNG28 DXC28 EGY28 EQU28 FAQ28 FKM28 FUI28 GEE28 GOA28 GXW28 HHS28 HRO28 IBK28 ILG28 IVC28 JEY28 JOU28 JYQ28 KIM28 KSI28 LCE28 LMA28 LVW28 MFS28 MPO28 MZK28 NJG28 NTC28 OCY28 OMU28 OWQ28 PGM28 PQI28 QAE28 QKA28 QTW28 RDS28 RNO28 RXK28 SHG28 SRC28 TAY28 TKU28 TUQ28 UEM28 UOI28 UYE28 VIA28 VRW28 WBS28 WLO28 WVK28 C65564 IY65564 SU65564 ACQ65564 AMM65564 AWI65564 BGE65564 BQA65564 BZW65564 CJS65564 CTO65564 DDK65564 DNG65564 DXC65564 EGY65564 EQU65564 FAQ65564 FKM65564 FUI65564 GEE65564 GOA65564 GXW65564 HHS65564 HRO65564 IBK65564 ILG65564 IVC65564 JEY65564 JOU65564 JYQ65564 KIM65564 KSI65564 LCE65564 LMA65564 LVW65564 MFS65564 MPO65564 MZK65564 NJG65564 NTC65564 OCY65564 OMU65564 OWQ65564 PGM65564 PQI65564 QAE65564 QKA65564 QTW65564 RDS65564 RNO65564 RXK65564 SHG65564 SRC65564 TAY65564 TKU65564 TUQ65564 UEM65564 UOI65564 UYE65564 VIA65564 VRW65564 WBS65564 WLO65564 WVK65564 C131100 IY131100 SU131100 ACQ131100 AMM131100 AWI131100 BGE131100 BQA131100 BZW131100 CJS131100 CTO131100 DDK131100 DNG131100 DXC131100 EGY131100 EQU131100 FAQ131100 FKM131100 FUI131100 GEE131100 GOA131100 GXW131100 HHS131100 HRO131100 IBK131100 ILG131100 IVC131100 JEY131100 JOU131100 JYQ131100 KIM131100 KSI131100 LCE131100 LMA131100 LVW131100 MFS131100 MPO131100 MZK131100 NJG131100 NTC131100 OCY131100 OMU131100 OWQ131100 PGM131100 PQI131100 QAE131100 QKA131100 QTW131100 RDS131100 RNO131100 RXK131100 SHG131100 SRC131100 TAY131100 TKU131100 TUQ131100 UEM131100 UOI131100 UYE131100 VIA131100 VRW131100 WBS131100 WLO131100 WVK131100 C196636 IY196636 SU196636 ACQ196636 AMM196636 AWI196636 BGE196636 BQA196636 BZW196636 CJS196636 CTO196636 DDK196636 DNG196636 DXC196636 EGY196636 EQU196636 FAQ196636 FKM196636 FUI196636 GEE196636 GOA196636 GXW196636 HHS196636 HRO196636 IBK196636 ILG196636 IVC196636 JEY196636 JOU196636 JYQ196636 KIM196636 KSI196636 LCE196636 LMA196636 LVW196636 MFS196636 MPO196636 MZK196636 NJG196636 NTC196636 OCY196636 OMU196636 OWQ196636 PGM196636 PQI196636 QAE196636 QKA196636 QTW196636 RDS196636 RNO196636 RXK196636 SHG196636 SRC196636 TAY196636 TKU196636 TUQ196636 UEM196636 UOI196636 UYE196636 VIA196636 VRW196636 WBS196636 WLO196636 WVK196636 C262172 IY262172 SU262172 ACQ262172 AMM262172 AWI262172 BGE262172 BQA262172 BZW262172 CJS262172 CTO262172 DDK262172 DNG262172 DXC262172 EGY262172 EQU262172 FAQ262172 FKM262172 FUI262172 GEE262172 GOA262172 GXW262172 HHS262172 HRO262172 IBK262172 ILG262172 IVC262172 JEY262172 JOU262172 JYQ262172 KIM262172 KSI262172 LCE262172 LMA262172 LVW262172 MFS262172 MPO262172 MZK262172 NJG262172 NTC262172 OCY262172 OMU262172 OWQ262172 PGM262172 PQI262172 QAE262172 QKA262172 QTW262172 RDS262172 RNO262172 RXK262172 SHG262172 SRC262172 TAY262172 TKU262172 TUQ262172 UEM262172 UOI262172 UYE262172 VIA262172 VRW262172 WBS262172 WLO262172 WVK262172 C327708 IY327708 SU327708 ACQ327708 AMM327708 AWI327708 BGE327708 BQA327708 BZW327708 CJS327708 CTO327708 DDK327708 DNG327708 DXC327708 EGY327708 EQU327708 FAQ327708 FKM327708 FUI327708 GEE327708 GOA327708 GXW327708 HHS327708 HRO327708 IBK327708 ILG327708 IVC327708 JEY327708 JOU327708 JYQ327708 KIM327708 KSI327708 LCE327708 LMA327708 LVW327708 MFS327708 MPO327708 MZK327708 NJG327708 NTC327708 OCY327708 OMU327708 OWQ327708 PGM327708 PQI327708 QAE327708 QKA327708 QTW327708 RDS327708 RNO327708 RXK327708 SHG327708 SRC327708 TAY327708 TKU327708 TUQ327708 UEM327708 UOI327708 UYE327708 VIA327708 VRW327708 WBS327708 WLO327708 WVK327708 C393244 IY393244 SU393244 ACQ393244 AMM393244 AWI393244 BGE393244 BQA393244 BZW393244 CJS393244 CTO393244 DDK393244 DNG393244 DXC393244 EGY393244 EQU393244 FAQ393244 FKM393244 FUI393244 GEE393244 GOA393244 GXW393244 HHS393244 HRO393244 IBK393244 ILG393244 IVC393244 JEY393244 JOU393244 JYQ393244 KIM393244 KSI393244 LCE393244 LMA393244 LVW393244 MFS393244 MPO393244 MZK393244 NJG393244 NTC393244 OCY393244 OMU393244 OWQ393244 PGM393244 PQI393244 QAE393244 QKA393244 QTW393244 RDS393244 RNO393244 RXK393244 SHG393244 SRC393244 TAY393244 TKU393244 TUQ393244 UEM393244 UOI393244 UYE393244 VIA393244 VRW393244 WBS393244 WLO393244 WVK393244 C458780 IY458780 SU458780 ACQ458780 AMM458780 AWI458780 BGE458780 BQA458780 BZW458780 CJS458780 CTO458780 DDK458780 DNG458780 DXC458780 EGY458780 EQU458780 FAQ458780 FKM458780 FUI458780 GEE458780 GOA458780 GXW458780 HHS458780 HRO458780 IBK458780 ILG458780 IVC458780 JEY458780 JOU458780 JYQ458780 KIM458780 KSI458780 LCE458780 LMA458780 LVW458780 MFS458780 MPO458780 MZK458780 NJG458780 NTC458780 OCY458780 OMU458780 OWQ458780 PGM458780 PQI458780 QAE458780 QKA458780 QTW458780 RDS458780 RNO458780 RXK458780 SHG458780 SRC458780 TAY458780 TKU458780 TUQ458780 UEM458780 UOI458780 UYE458780 VIA458780 VRW458780 WBS458780 WLO458780 WVK458780 C524316 IY524316 SU524316 ACQ524316 AMM524316 AWI524316 BGE524316 BQA524316 BZW524316 CJS524316 CTO524316 DDK524316 DNG524316 DXC524316 EGY524316 EQU524316 FAQ524316 FKM524316 FUI524316 GEE524316 GOA524316 GXW524316 HHS524316 HRO524316 IBK524316 ILG524316 IVC524316 JEY524316 JOU524316 JYQ524316 KIM524316 KSI524316 LCE524316 LMA524316 LVW524316 MFS524316 MPO524316 MZK524316 NJG524316 NTC524316 OCY524316 OMU524316 OWQ524316 PGM524316 PQI524316 QAE524316 QKA524316 QTW524316 RDS524316 RNO524316 RXK524316 SHG524316 SRC524316 TAY524316 TKU524316 TUQ524316 UEM524316 UOI524316 UYE524316 VIA524316 VRW524316 WBS524316 WLO524316 WVK524316 C589852 IY589852 SU589852 ACQ589852 AMM589852 AWI589852 BGE589852 BQA589852 BZW589852 CJS589852 CTO589852 DDK589852 DNG589852 DXC589852 EGY589852 EQU589852 FAQ589852 FKM589852 FUI589852 GEE589852 GOA589852 GXW589852 HHS589852 HRO589852 IBK589852 ILG589852 IVC589852 JEY589852 JOU589852 JYQ589852 KIM589852 KSI589852 LCE589852 LMA589852 LVW589852 MFS589852 MPO589852 MZK589852 NJG589852 NTC589852 OCY589852 OMU589852 OWQ589852 PGM589852 PQI589852 QAE589852 QKA589852 QTW589852 RDS589852 RNO589852 RXK589852 SHG589852 SRC589852 TAY589852 TKU589852 TUQ589852 UEM589852 UOI589852 UYE589852 VIA589852 VRW589852 WBS589852 WLO589852 WVK589852 C655388 IY655388 SU655388 ACQ655388 AMM655388 AWI655388 BGE655388 BQA655388 BZW655388 CJS655388 CTO655388 DDK655388 DNG655388 DXC655388 EGY655388 EQU655388 FAQ655388 FKM655388 FUI655388 GEE655388 GOA655388 GXW655388 HHS655388 HRO655388 IBK655388 ILG655388 IVC655388 JEY655388 JOU655388 JYQ655388 KIM655388 KSI655388 LCE655388 LMA655388 LVW655388 MFS655388 MPO655388 MZK655388 NJG655388 NTC655388 OCY655388 OMU655388 OWQ655388 PGM655388 PQI655388 QAE655388 QKA655388 QTW655388 RDS655388 RNO655388 RXK655388 SHG655388 SRC655388 TAY655388 TKU655388 TUQ655388 UEM655388 UOI655388 UYE655388 VIA655388 VRW655388 WBS655388 WLO655388 WVK655388 C720924 IY720924 SU720924 ACQ720924 AMM720924 AWI720924 BGE720924 BQA720924 BZW720924 CJS720924 CTO720924 DDK720924 DNG720924 DXC720924 EGY720924 EQU720924 FAQ720924 FKM720924 FUI720924 GEE720924 GOA720924 GXW720924 HHS720924 HRO720924 IBK720924 ILG720924 IVC720924 JEY720924 JOU720924 JYQ720924 KIM720924 KSI720924 LCE720924 LMA720924 LVW720924 MFS720924 MPO720924 MZK720924 NJG720924 NTC720924 OCY720924 OMU720924 OWQ720924 PGM720924 PQI720924 QAE720924 QKA720924 QTW720924 RDS720924 RNO720924 RXK720924 SHG720924 SRC720924 TAY720924 TKU720924 TUQ720924 UEM720924 UOI720924 UYE720924 VIA720924 VRW720924 WBS720924 WLO720924 WVK720924 C786460 IY786460 SU786460 ACQ786460 AMM786460 AWI786460 BGE786460 BQA786460 BZW786460 CJS786460 CTO786460 DDK786460 DNG786460 DXC786460 EGY786460 EQU786460 FAQ786460 FKM786460 FUI786460 GEE786460 GOA786460 GXW786460 HHS786460 HRO786460 IBK786460 ILG786460 IVC786460 JEY786460 JOU786460 JYQ786460 KIM786460 KSI786460 LCE786460 LMA786460 LVW786460 MFS786460 MPO786460 MZK786460 NJG786460 NTC786460 OCY786460 OMU786460 OWQ786460 PGM786460 PQI786460 QAE786460 QKA786460 QTW786460 RDS786460 RNO786460 RXK786460 SHG786460 SRC786460 TAY786460 TKU786460 TUQ786460 UEM786460 UOI786460 UYE786460 VIA786460 VRW786460 WBS786460 WLO786460 WVK786460 C851996 IY851996 SU851996 ACQ851996 AMM851996 AWI851996 BGE851996 BQA851996 BZW851996 CJS851996 CTO851996 DDK851996 DNG851996 DXC851996 EGY851996 EQU851996 FAQ851996 FKM851996 FUI851996 GEE851996 GOA851996 GXW851996 HHS851996 HRO851996 IBK851996 ILG851996 IVC851996 JEY851996 JOU851996 JYQ851996 KIM851996 KSI851996 LCE851996 LMA851996 LVW851996 MFS851996 MPO851996 MZK851996 NJG851996 NTC851996 OCY851996 OMU851996 OWQ851996 PGM851996 PQI851996 QAE851996 QKA851996 QTW851996 RDS851996 RNO851996 RXK851996 SHG851996 SRC851996 TAY851996 TKU851996 TUQ851996 UEM851996 UOI851996 UYE851996 VIA851996 VRW851996 WBS851996 WLO851996 WVK851996 C917532 IY917532 SU917532 ACQ917532 AMM917532 AWI917532 BGE917532 BQA917532 BZW917532 CJS917532 CTO917532 DDK917532 DNG917532 DXC917532 EGY917532 EQU917532 FAQ917532 FKM917532 FUI917532 GEE917532 GOA917532 GXW917532 HHS917532 HRO917532 IBK917532 ILG917532 IVC917532 JEY917532 JOU917532 JYQ917532 KIM917532 KSI917532 LCE917532 LMA917532 LVW917532 MFS917532 MPO917532 MZK917532 NJG917532 NTC917532 OCY917532 OMU917532 OWQ917532 PGM917532 PQI917532 QAE917532 QKA917532 QTW917532 RDS917532 RNO917532 RXK917532 SHG917532 SRC917532 TAY917532 TKU917532 TUQ917532 UEM917532 UOI917532 UYE917532 VIA917532 VRW917532 WBS917532 WLO917532 WVK917532 C983068 IY983068 SU983068 ACQ983068 AMM983068 AWI983068 BGE983068 BQA983068 BZW983068 CJS983068 CTO983068 DDK983068 DNG983068 DXC983068 EGY983068 EQU983068 FAQ983068 FKM983068 FUI983068 GEE983068 GOA983068 GXW983068 HHS983068 HRO983068 IBK983068 ILG983068 IVC983068 JEY983068 JOU983068 JYQ983068 KIM983068 KSI983068 LCE983068 LMA983068 LVW983068 MFS983068 MPO983068 MZK983068 NJG983068 NTC983068 OCY983068 OMU983068 OWQ983068 PGM983068 PQI983068 QAE983068 QKA983068 QTW983068 RDS983068 RNO983068 RXK983068 SHG983068 SRC983068 TAY983068 TKU983068 TUQ983068 UEM983068 UOI983068 UYE983068 VIA983068 VRW983068 WBS983068 WLO983068 WVK983068">
      <formula1>Retain</formula1>
    </dataValidation>
    <dataValidation type="list" allowBlank="1" showInputMessage="1" showErrorMessage="1" sqref="C25:C26 IY25:IY26 SU25:SU26 ACQ25:ACQ26 AMM25:AMM26 AWI25:AWI26 BGE25:BGE26 BQA25:BQA26 BZW25:BZW26 CJS25:CJS26 CTO25:CTO26 DDK25:DDK26 DNG25:DNG26 DXC25:DXC26 EGY25:EGY26 EQU25:EQU26 FAQ25:FAQ26 FKM25:FKM26 FUI25:FUI26 GEE25:GEE26 GOA25:GOA26 GXW25:GXW26 HHS25:HHS26 HRO25:HRO26 IBK25:IBK26 ILG25:ILG26 IVC25:IVC26 JEY25:JEY26 JOU25:JOU26 JYQ25:JYQ26 KIM25:KIM26 KSI25:KSI26 LCE25:LCE26 LMA25:LMA26 LVW25:LVW26 MFS25:MFS26 MPO25:MPO26 MZK25:MZK26 NJG25:NJG26 NTC25:NTC26 OCY25:OCY26 OMU25:OMU26 OWQ25:OWQ26 PGM25:PGM26 PQI25:PQI26 QAE25:QAE26 QKA25:QKA26 QTW25:QTW26 RDS25:RDS26 RNO25:RNO26 RXK25:RXK26 SHG25:SHG26 SRC25:SRC26 TAY25:TAY26 TKU25:TKU26 TUQ25:TUQ26 UEM25:UEM26 UOI25:UOI26 UYE25:UYE26 VIA25:VIA26 VRW25:VRW26 WBS25:WBS26 WLO25:WLO26 WVK25:WVK26 C65561:C65562 IY65561:IY65562 SU65561:SU65562 ACQ65561:ACQ65562 AMM65561:AMM65562 AWI65561:AWI65562 BGE65561:BGE65562 BQA65561:BQA65562 BZW65561:BZW65562 CJS65561:CJS65562 CTO65561:CTO65562 DDK65561:DDK65562 DNG65561:DNG65562 DXC65561:DXC65562 EGY65561:EGY65562 EQU65561:EQU65562 FAQ65561:FAQ65562 FKM65561:FKM65562 FUI65561:FUI65562 GEE65561:GEE65562 GOA65561:GOA65562 GXW65561:GXW65562 HHS65561:HHS65562 HRO65561:HRO65562 IBK65561:IBK65562 ILG65561:ILG65562 IVC65561:IVC65562 JEY65561:JEY65562 JOU65561:JOU65562 JYQ65561:JYQ65562 KIM65561:KIM65562 KSI65561:KSI65562 LCE65561:LCE65562 LMA65561:LMA65562 LVW65561:LVW65562 MFS65561:MFS65562 MPO65561:MPO65562 MZK65561:MZK65562 NJG65561:NJG65562 NTC65561:NTC65562 OCY65561:OCY65562 OMU65561:OMU65562 OWQ65561:OWQ65562 PGM65561:PGM65562 PQI65561:PQI65562 QAE65561:QAE65562 QKA65561:QKA65562 QTW65561:QTW65562 RDS65561:RDS65562 RNO65561:RNO65562 RXK65561:RXK65562 SHG65561:SHG65562 SRC65561:SRC65562 TAY65561:TAY65562 TKU65561:TKU65562 TUQ65561:TUQ65562 UEM65561:UEM65562 UOI65561:UOI65562 UYE65561:UYE65562 VIA65561:VIA65562 VRW65561:VRW65562 WBS65561:WBS65562 WLO65561:WLO65562 WVK65561:WVK65562 C131097:C131098 IY131097:IY131098 SU131097:SU131098 ACQ131097:ACQ131098 AMM131097:AMM131098 AWI131097:AWI131098 BGE131097:BGE131098 BQA131097:BQA131098 BZW131097:BZW131098 CJS131097:CJS131098 CTO131097:CTO131098 DDK131097:DDK131098 DNG131097:DNG131098 DXC131097:DXC131098 EGY131097:EGY131098 EQU131097:EQU131098 FAQ131097:FAQ131098 FKM131097:FKM131098 FUI131097:FUI131098 GEE131097:GEE131098 GOA131097:GOA131098 GXW131097:GXW131098 HHS131097:HHS131098 HRO131097:HRO131098 IBK131097:IBK131098 ILG131097:ILG131098 IVC131097:IVC131098 JEY131097:JEY131098 JOU131097:JOU131098 JYQ131097:JYQ131098 KIM131097:KIM131098 KSI131097:KSI131098 LCE131097:LCE131098 LMA131097:LMA131098 LVW131097:LVW131098 MFS131097:MFS131098 MPO131097:MPO131098 MZK131097:MZK131098 NJG131097:NJG131098 NTC131097:NTC131098 OCY131097:OCY131098 OMU131097:OMU131098 OWQ131097:OWQ131098 PGM131097:PGM131098 PQI131097:PQI131098 QAE131097:QAE131098 QKA131097:QKA131098 QTW131097:QTW131098 RDS131097:RDS131098 RNO131097:RNO131098 RXK131097:RXK131098 SHG131097:SHG131098 SRC131097:SRC131098 TAY131097:TAY131098 TKU131097:TKU131098 TUQ131097:TUQ131098 UEM131097:UEM131098 UOI131097:UOI131098 UYE131097:UYE131098 VIA131097:VIA131098 VRW131097:VRW131098 WBS131097:WBS131098 WLO131097:WLO131098 WVK131097:WVK131098 C196633:C196634 IY196633:IY196634 SU196633:SU196634 ACQ196633:ACQ196634 AMM196633:AMM196634 AWI196633:AWI196634 BGE196633:BGE196634 BQA196633:BQA196634 BZW196633:BZW196634 CJS196633:CJS196634 CTO196633:CTO196634 DDK196633:DDK196634 DNG196633:DNG196634 DXC196633:DXC196634 EGY196633:EGY196634 EQU196633:EQU196634 FAQ196633:FAQ196634 FKM196633:FKM196634 FUI196633:FUI196634 GEE196633:GEE196634 GOA196633:GOA196634 GXW196633:GXW196634 HHS196633:HHS196634 HRO196633:HRO196634 IBK196633:IBK196634 ILG196633:ILG196634 IVC196633:IVC196634 JEY196633:JEY196634 JOU196633:JOU196634 JYQ196633:JYQ196634 KIM196633:KIM196634 KSI196633:KSI196634 LCE196633:LCE196634 LMA196633:LMA196634 LVW196633:LVW196634 MFS196633:MFS196634 MPO196633:MPO196634 MZK196633:MZK196634 NJG196633:NJG196634 NTC196633:NTC196634 OCY196633:OCY196634 OMU196633:OMU196634 OWQ196633:OWQ196634 PGM196633:PGM196634 PQI196633:PQI196634 QAE196633:QAE196634 QKA196633:QKA196634 QTW196633:QTW196634 RDS196633:RDS196634 RNO196633:RNO196634 RXK196633:RXK196634 SHG196633:SHG196634 SRC196633:SRC196634 TAY196633:TAY196634 TKU196633:TKU196634 TUQ196633:TUQ196634 UEM196633:UEM196634 UOI196633:UOI196634 UYE196633:UYE196634 VIA196633:VIA196634 VRW196633:VRW196634 WBS196633:WBS196634 WLO196633:WLO196634 WVK196633:WVK196634 C262169:C262170 IY262169:IY262170 SU262169:SU262170 ACQ262169:ACQ262170 AMM262169:AMM262170 AWI262169:AWI262170 BGE262169:BGE262170 BQA262169:BQA262170 BZW262169:BZW262170 CJS262169:CJS262170 CTO262169:CTO262170 DDK262169:DDK262170 DNG262169:DNG262170 DXC262169:DXC262170 EGY262169:EGY262170 EQU262169:EQU262170 FAQ262169:FAQ262170 FKM262169:FKM262170 FUI262169:FUI262170 GEE262169:GEE262170 GOA262169:GOA262170 GXW262169:GXW262170 HHS262169:HHS262170 HRO262169:HRO262170 IBK262169:IBK262170 ILG262169:ILG262170 IVC262169:IVC262170 JEY262169:JEY262170 JOU262169:JOU262170 JYQ262169:JYQ262170 KIM262169:KIM262170 KSI262169:KSI262170 LCE262169:LCE262170 LMA262169:LMA262170 LVW262169:LVW262170 MFS262169:MFS262170 MPO262169:MPO262170 MZK262169:MZK262170 NJG262169:NJG262170 NTC262169:NTC262170 OCY262169:OCY262170 OMU262169:OMU262170 OWQ262169:OWQ262170 PGM262169:PGM262170 PQI262169:PQI262170 QAE262169:QAE262170 QKA262169:QKA262170 QTW262169:QTW262170 RDS262169:RDS262170 RNO262169:RNO262170 RXK262169:RXK262170 SHG262169:SHG262170 SRC262169:SRC262170 TAY262169:TAY262170 TKU262169:TKU262170 TUQ262169:TUQ262170 UEM262169:UEM262170 UOI262169:UOI262170 UYE262169:UYE262170 VIA262169:VIA262170 VRW262169:VRW262170 WBS262169:WBS262170 WLO262169:WLO262170 WVK262169:WVK262170 C327705:C327706 IY327705:IY327706 SU327705:SU327706 ACQ327705:ACQ327706 AMM327705:AMM327706 AWI327705:AWI327706 BGE327705:BGE327706 BQA327705:BQA327706 BZW327705:BZW327706 CJS327705:CJS327706 CTO327705:CTO327706 DDK327705:DDK327706 DNG327705:DNG327706 DXC327705:DXC327706 EGY327705:EGY327706 EQU327705:EQU327706 FAQ327705:FAQ327706 FKM327705:FKM327706 FUI327705:FUI327706 GEE327705:GEE327706 GOA327705:GOA327706 GXW327705:GXW327706 HHS327705:HHS327706 HRO327705:HRO327706 IBK327705:IBK327706 ILG327705:ILG327706 IVC327705:IVC327706 JEY327705:JEY327706 JOU327705:JOU327706 JYQ327705:JYQ327706 KIM327705:KIM327706 KSI327705:KSI327706 LCE327705:LCE327706 LMA327705:LMA327706 LVW327705:LVW327706 MFS327705:MFS327706 MPO327705:MPO327706 MZK327705:MZK327706 NJG327705:NJG327706 NTC327705:NTC327706 OCY327705:OCY327706 OMU327705:OMU327706 OWQ327705:OWQ327706 PGM327705:PGM327706 PQI327705:PQI327706 QAE327705:QAE327706 QKA327705:QKA327706 QTW327705:QTW327706 RDS327705:RDS327706 RNO327705:RNO327706 RXK327705:RXK327706 SHG327705:SHG327706 SRC327705:SRC327706 TAY327705:TAY327706 TKU327705:TKU327706 TUQ327705:TUQ327706 UEM327705:UEM327706 UOI327705:UOI327706 UYE327705:UYE327706 VIA327705:VIA327706 VRW327705:VRW327706 WBS327705:WBS327706 WLO327705:WLO327706 WVK327705:WVK327706 C393241:C393242 IY393241:IY393242 SU393241:SU393242 ACQ393241:ACQ393242 AMM393241:AMM393242 AWI393241:AWI393242 BGE393241:BGE393242 BQA393241:BQA393242 BZW393241:BZW393242 CJS393241:CJS393242 CTO393241:CTO393242 DDK393241:DDK393242 DNG393241:DNG393242 DXC393241:DXC393242 EGY393241:EGY393242 EQU393241:EQU393242 FAQ393241:FAQ393242 FKM393241:FKM393242 FUI393241:FUI393242 GEE393241:GEE393242 GOA393241:GOA393242 GXW393241:GXW393242 HHS393241:HHS393242 HRO393241:HRO393242 IBK393241:IBK393242 ILG393241:ILG393242 IVC393241:IVC393242 JEY393241:JEY393242 JOU393241:JOU393242 JYQ393241:JYQ393242 KIM393241:KIM393242 KSI393241:KSI393242 LCE393241:LCE393242 LMA393241:LMA393242 LVW393241:LVW393242 MFS393241:MFS393242 MPO393241:MPO393242 MZK393241:MZK393242 NJG393241:NJG393242 NTC393241:NTC393242 OCY393241:OCY393242 OMU393241:OMU393242 OWQ393241:OWQ393242 PGM393241:PGM393242 PQI393241:PQI393242 QAE393241:QAE393242 QKA393241:QKA393242 QTW393241:QTW393242 RDS393241:RDS393242 RNO393241:RNO393242 RXK393241:RXK393242 SHG393241:SHG393242 SRC393241:SRC393242 TAY393241:TAY393242 TKU393241:TKU393242 TUQ393241:TUQ393242 UEM393241:UEM393242 UOI393241:UOI393242 UYE393241:UYE393242 VIA393241:VIA393242 VRW393241:VRW393242 WBS393241:WBS393242 WLO393241:WLO393242 WVK393241:WVK393242 C458777:C458778 IY458777:IY458778 SU458777:SU458778 ACQ458777:ACQ458778 AMM458777:AMM458778 AWI458777:AWI458778 BGE458777:BGE458778 BQA458777:BQA458778 BZW458777:BZW458778 CJS458777:CJS458778 CTO458777:CTO458778 DDK458777:DDK458778 DNG458777:DNG458778 DXC458777:DXC458778 EGY458777:EGY458778 EQU458777:EQU458778 FAQ458777:FAQ458778 FKM458777:FKM458778 FUI458777:FUI458778 GEE458777:GEE458778 GOA458777:GOA458778 GXW458777:GXW458778 HHS458777:HHS458778 HRO458777:HRO458778 IBK458777:IBK458778 ILG458777:ILG458778 IVC458777:IVC458778 JEY458777:JEY458778 JOU458777:JOU458778 JYQ458777:JYQ458778 KIM458777:KIM458778 KSI458777:KSI458778 LCE458777:LCE458778 LMA458777:LMA458778 LVW458777:LVW458778 MFS458777:MFS458778 MPO458777:MPO458778 MZK458777:MZK458778 NJG458777:NJG458778 NTC458777:NTC458778 OCY458777:OCY458778 OMU458777:OMU458778 OWQ458777:OWQ458778 PGM458777:PGM458778 PQI458777:PQI458778 QAE458777:QAE458778 QKA458777:QKA458778 QTW458777:QTW458778 RDS458777:RDS458778 RNO458777:RNO458778 RXK458777:RXK458778 SHG458777:SHG458778 SRC458777:SRC458778 TAY458777:TAY458778 TKU458777:TKU458778 TUQ458777:TUQ458778 UEM458777:UEM458778 UOI458777:UOI458778 UYE458777:UYE458778 VIA458777:VIA458778 VRW458777:VRW458778 WBS458777:WBS458778 WLO458777:WLO458778 WVK458777:WVK458778 C524313:C524314 IY524313:IY524314 SU524313:SU524314 ACQ524313:ACQ524314 AMM524313:AMM524314 AWI524313:AWI524314 BGE524313:BGE524314 BQA524313:BQA524314 BZW524313:BZW524314 CJS524313:CJS524314 CTO524313:CTO524314 DDK524313:DDK524314 DNG524313:DNG524314 DXC524313:DXC524314 EGY524313:EGY524314 EQU524313:EQU524314 FAQ524313:FAQ524314 FKM524313:FKM524314 FUI524313:FUI524314 GEE524313:GEE524314 GOA524313:GOA524314 GXW524313:GXW524314 HHS524313:HHS524314 HRO524313:HRO524314 IBK524313:IBK524314 ILG524313:ILG524314 IVC524313:IVC524314 JEY524313:JEY524314 JOU524313:JOU524314 JYQ524313:JYQ524314 KIM524313:KIM524314 KSI524313:KSI524314 LCE524313:LCE524314 LMA524313:LMA524314 LVW524313:LVW524314 MFS524313:MFS524314 MPO524313:MPO524314 MZK524313:MZK524314 NJG524313:NJG524314 NTC524313:NTC524314 OCY524313:OCY524314 OMU524313:OMU524314 OWQ524313:OWQ524314 PGM524313:PGM524314 PQI524313:PQI524314 QAE524313:QAE524314 QKA524313:QKA524314 QTW524313:QTW524314 RDS524313:RDS524314 RNO524313:RNO524314 RXK524313:RXK524314 SHG524313:SHG524314 SRC524313:SRC524314 TAY524313:TAY524314 TKU524313:TKU524314 TUQ524313:TUQ524314 UEM524313:UEM524314 UOI524313:UOI524314 UYE524313:UYE524314 VIA524313:VIA524314 VRW524313:VRW524314 WBS524313:WBS524314 WLO524313:WLO524314 WVK524313:WVK524314 C589849:C589850 IY589849:IY589850 SU589849:SU589850 ACQ589849:ACQ589850 AMM589849:AMM589850 AWI589849:AWI589850 BGE589849:BGE589850 BQA589849:BQA589850 BZW589849:BZW589850 CJS589849:CJS589850 CTO589849:CTO589850 DDK589849:DDK589850 DNG589849:DNG589850 DXC589849:DXC589850 EGY589849:EGY589850 EQU589849:EQU589850 FAQ589849:FAQ589850 FKM589849:FKM589850 FUI589849:FUI589850 GEE589849:GEE589850 GOA589849:GOA589850 GXW589849:GXW589850 HHS589849:HHS589850 HRO589849:HRO589850 IBK589849:IBK589850 ILG589849:ILG589850 IVC589849:IVC589850 JEY589849:JEY589850 JOU589849:JOU589850 JYQ589849:JYQ589850 KIM589849:KIM589850 KSI589849:KSI589850 LCE589849:LCE589850 LMA589849:LMA589850 LVW589849:LVW589850 MFS589849:MFS589850 MPO589849:MPO589850 MZK589849:MZK589850 NJG589849:NJG589850 NTC589849:NTC589850 OCY589849:OCY589850 OMU589849:OMU589850 OWQ589849:OWQ589850 PGM589849:PGM589850 PQI589849:PQI589850 QAE589849:QAE589850 QKA589849:QKA589850 QTW589849:QTW589850 RDS589849:RDS589850 RNO589849:RNO589850 RXK589849:RXK589850 SHG589849:SHG589850 SRC589849:SRC589850 TAY589849:TAY589850 TKU589849:TKU589850 TUQ589849:TUQ589850 UEM589849:UEM589850 UOI589849:UOI589850 UYE589849:UYE589850 VIA589849:VIA589850 VRW589849:VRW589850 WBS589849:WBS589850 WLO589849:WLO589850 WVK589849:WVK589850 C655385:C655386 IY655385:IY655386 SU655385:SU655386 ACQ655385:ACQ655386 AMM655385:AMM655386 AWI655385:AWI655386 BGE655385:BGE655386 BQA655385:BQA655386 BZW655385:BZW655386 CJS655385:CJS655386 CTO655385:CTO655386 DDK655385:DDK655386 DNG655385:DNG655386 DXC655385:DXC655386 EGY655385:EGY655386 EQU655385:EQU655386 FAQ655385:FAQ655386 FKM655385:FKM655386 FUI655385:FUI655386 GEE655385:GEE655386 GOA655385:GOA655386 GXW655385:GXW655386 HHS655385:HHS655386 HRO655385:HRO655386 IBK655385:IBK655386 ILG655385:ILG655386 IVC655385:IVC655386 JEY655385:JEY655386 JOU655385:JOU655386 JYQ655385:JYQ655386 KIM655385:KIM655386 KSI655385:KSI655386 LCE655385:LCE655386 LMA655385:LMA655386 LVW655385:LVW655386 MFS655385:MFS655386 MPO655385:MPO655386 MZK655385:MZK655386 NJG655385:NJG655386 NTC655385:NTC655386 OCY655385:OCY655386 OMU655385:OMU655386 OWQ655385:OWQ655386 PGM655385:PGM655386 PQI655385:PQI655386 QAE655385:QAE655386 QKA655385:QKA655386 QTW655385:QTW655386 RDS655385:RDS655386 RNO655385:RNO655386 RXK655385:RXK655386 SHG655385:SHG655386 SRC655385:SRC655386 TAY655385:TAY655386 TKU655385:TKU655386 TUQ655385:TUQ655386 UEM655385:UEM655386 UOI655385:UOI655386 UYE655385:UYE655386 VIA655385:VIA655386 VRW655385:VRW655386 WBS655385:WBS655386 WLO655385:WLO655386 WVK655385:WVK655386 C720921:C720922 IY720921:IY720922 SU720921:SU720922 ACQ720921:ACQ720922 AMM720921:AMM720922 AWI720921:AWI720922 BGE720921:BGE720922 BQA720921:BQA720922 BZW720921:BZW720922 CJS720921:CJS720922 CTO720921:CTO720922 DDK720921:DDK720922 DNG720921:DNG720922 DXC720921:DXC720922 EGY720921:EGY720922 EQU720921:EQU720922 FAQ720921:FAQ720922 FKM720921:FKM720922 FUI720921:FUI720922 GEE720921:GEE720922 GOA720921:GOA720922 GXW720921:GXW720922 HHS720921:HHS720922 HRO720921:HRO720922 IBK720921:IBK720922 ILG720921:ILG720922 IVC720921:IVC720922 JEY720921:JEY720922 JOU720921:JOU720922 JYQ720921:JYQ720922 KIM720921:KIM720922 KSI720921:KSI720922 LCE720921:LCE720922 LMA720921:LMA720922 LVW720921:LVW720922 MFS720921:MFS720922 MPO720921:MPO720922 MZK720921:MZK720922 NJG720921:NJG720922 NTC720921:NTC720922 OCY720921:OCY720922 OMU720921:OMU720922 OWQ720921:OWQ720922 PGM720921:PGM720922 PQI720921:PQI720922 QAE720921:QAE720922 QKA720921:QKA720922 QTW720921:QTW720922 RDS720921:RDS720922 RNO720921:RNO720922 RXK720921:RXK720922 SHG720921:SHG720922 SRC720921:SRC720922 TAY720921:TAY720922 TKU720921:TKU720922 TUQ720921:TUQ720922 UEM720921:UEM720922 UOI720921:UOI720922 UYE720921:UYE720922 VIA720921:VIA720922 VRW720921:VRW720922 WBS720921:WBS720922 WLO720921:WLO720922 WVK720921:WVK720922 C786457:C786458 IY786457:IY786458 SU786457:SU786458 ACQ786457:ACQ786458 AMM786457:AMM786458 AWI786457:AWI786458 BGE786457:BGE786458 BQA786457:BQA786458 BZW786457:BZW786458 CJS786457:CJS786458 CTO786457:CTO786458 DDK786457:DDK786458 DNG786457:DNG786458 DXC786457:DXC786458 EGY786457:EGY786458 EQU786457:EQU786458 FAQ786457:FAQ786458 FKM786457:FKM786458 FUI786457:FUI786458 GEE786457:GEE786458 GOA786457:GOA786458 GXW786457:GXW786458 HHS786457:HHS786458 HRO786457:HRO786458 IBK786457:IBK786458 ILG786457:ILG786458 IVC786457:IVC786458 JEY786457:JEY786458 JOU786457:JOU786458 JYQ786457:JYQ786458 KIM786457:KIM786458 KSI786457:KSI786458 LCE786457:LCE786458 LMA786457:LMA786458 LVW786457:LVW786458 MFS786457:MFS786458 MPO786457:MPO786458 MZK786457:MZK786458 NJG786457:NJG786458 NTC786457:NTC786458 OCY786457:OCY786458 OMU786457:OMU786458 OWQ786457:OWQ786458 PGM786457:PGM786458 PQI786457:PQI786458 QAE786457:QAE786458 QKA786457:QKA786458 QTW786457:QTW786458 RDS786457:RDS786458 RNO786457:RNO786458 RXK786457:RXK786458 SHG786457:SHG786458 SRC786457:SRC786458 TAY786457:TAY786458 TKU786457:TKU786458 TUQ786457:TUQ786458 UEM786457:UEM786458 UOI786457:UOI786458 UYE786457:UYE786458 VIA786457:VIA786458 VRW786457:VRW786458 WBS786457:WBS786458 WLO786457:WLO786458 WVK786457:WVK786458 C851993:C851994 IY851993:IY851994 SU851993:SU851994 ACQ851993:ACQ851994 AMM851993:AMM851994 AWI851993:AWI851994 BGE851993:BGE851994 BQA851993:BQA851994 BZW851993:BZW851994 CJS851993:CJS851994 CTO851993:CTO851994 DDK851993:DDK851994 DNG851993:DNG851994 DXC851993:DXC851994 EGY851993:EGY851994 EQU851993:EQU851994 FAQ851993:FAQ851994 FKM851993:FKM851994 FUI851993:FUI851994 GEE851993:GEE851994 GOA851993:GOA851994 GXW851993:GXW851994 HHS851993:HHS851994 HRO851993:HRO851994 IBK851993:IBK851994 ILG851993:ILG851994 IVC851993:IVC851994 JEY851993:JEY851994 JOU851993:JOU851994 JYQ851993:JYQ851994 KIM851993:KIM851994 KSI851993:KSI851994 LCE851993:LCE851994 LMA851993:LMA851994 LVW851993:LVW851994 MFS851993:MFS851994 MPO851993:MPO851994 MZK851993:MZK851994 NJG851993:NJG851994 NTC851993:NTC851994 OCY851993:OCY851994 OMU851993:OMU851994 OWQ851993:OWQ851994 PGM851993:PGM851994 PQI851993:PQI851994 QAE851993:QAE851994 QKA851993:QKA851994 QTW851993:QTW851994 RDS851993:RDS851994 RNO851993:RNO851994 RXK851993:RXK851994 SHG851993:SHG851994 SRC851993:SRC851994 TAY851993:TAY851994 TKU851993:TKU851994 TUQ851993:TUQ851994 UEM851993:UEM851994 UOI851993:UOI851994 UYE851993:UYE851994 VIA851993:VIA851994 VRW851993:VRW851994 WBS851993:WBS851994 WLO851993:WLO851994 WVK851993:WVK851994 C917529:C917530 IY917529:IY917530 SU917529:SU917530 ACQ917529:ACQ917530 AMM917529:AMM917530 AWI917529:AWI917530 BGE917529:BGE917530 BQA917529:BQA917530 BZW917529:BZW917530 CJS917529:CJS917530 CTO917529:CTO917530 DDK917529:DDK917530 DNG917529:DNG917530 DXC917529:DXC917530 EGY917529:EGY917530 EQU917529:EQU917530 FAQ917529:FAQ917530 FKM917529:FKM917530 FUI917529:FUI917530 GEE917529:GEE917530 GOA917529:GOA917530 GXW917529:GXW917530 HHS917529:HHS917530 HRO917529:HRO917530 IBK917529:IBK917530 ILG917529:ILG917530 IVC917529:IVC917530 JEY917529:JEY917530 JOU917529:JOU917530 JYQ917529:JYQ917530 KIM917529:KIM917530 KSI917529:KSI917530 LCE917529:LCE917530 LMA917529:LMA917530 LVW917529:LVW917530 MFS917529:MFS917530 MPO917529:MPO917530 MZK917529:MZK917530 NJG917529:NJG917530 NTC917529:NTC917530 OCY917529:OCY917530 OMU917529:OMU917530 OWQ917529:OWQ917530 PGM917529:PGM917530 PQI917529:PQI917530 QAE917529:QAE917530 QKA917529:QKA917530 QTW917529:QTW917530 RDS917529:RDS917530 RNO917529:RNO917530 RXK917529:RXK917530 SHG917529:SHG917530 SRC917529:SRC917530 TAY917529:TAY917530 TKU917529:TKU917530 TUQ917529:TUQ917530 UEM917529:UEM917530 UOI917529:UOI917530 UYE917529:UYE917530 VIA917529:VIA917530 VRW917529:VRW917530 WBS917529:WBS917530 WLO917529:WLO917530 WVK917529:WVK917530 C983065:C983066 IY983065:IY983066 SU983065:SU983066 ACQ983065:ACQ983066 AMM983065:AMM983066 AWI983065:AWI983066 BGE983065:BGE983066 BQA983065:BQA983066 BZW983065:BZW983066 CJS983065:CJS983066 CTO983065:CTO983066 DDK983065:DDK983066 DNG983065:DNG983066 DXC983065:DXC983066 EGY983065:EGY983066 EQU983065:EQU983066 FAQ983065:FAQ983066 FKM983065:FKM983066 FUI983065:FUI983066 GEE983065:GEE983066 GOA983065:GOA983066 GXW983065:GXW983066 HHS983065:HHS983066 HRO983065:HRO983066 IBK983065:IBK983066 ILG983065:ILG983066 IVC983065:IVC983066 JEY983065:JEY983066 JOU983065:JOU983066 JYQ983065:JYQ983066 KIM983065:KIM983066 KSI983065:KSI983066 LCE983065:LCE983066 LMA983065:LMA983066 LVW983065:LVW983066 MFS983065:MFS983066 MPO983065:MPO983066 MZK983065:MZK983066 NJG983065:NJG983066 NTC983065:NTC983066 OCY983065:OCY983066 OMU983065:OMU983066 OWQ983065:OWQ983066 PGM983065:PGM983066 PQI983065:PQI983066 QAE983065:QAE983066 QKA983065:QKA983066 QTW983065:QTW983066 RDS983065:RDS983066 RNO983065:RNO983066 RXK983065:RXK983066 SHG983065:SHG983066 SRC983065:SRC983066 TAY983065:TAY983066 TKU983065:TKU983066 TUQ983065:TUQ983066 UEM983065:UEM983066 UOI983065:UOI983066 UYE983065:UYE983066 VIA983065:VIA983066 VRW983065:VRW983066 WBS983065:WBS983066 WLO983065:WLO983066 WVK983065:WVK983066">
      <formula1>Segmentr</formula1>
    </dataValidation>
    <dataValidation type="list" allowBlank="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Refund</formula1>
    </dataValidation>
  </dataValidations>
  <hyperlinks>
    <hyperlink ref="E47" r:id="rId1"/>
    <hyperlink ref="E48" r:id="rId2"/>
  </hyperlinks>
  <pageMargins left="0.25" right="0.25" top="0.75" bottom="0.75" header="0.3" footer="0.3"/>
  <pageSetup scale="75" fitToHeight="0" orientation="landscape" cellComments="asDisplayed"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B447"/>
  <sheetViews>
    <sheetView showGridLines="0" topLeftCell="A47" zoomScale="80" zoomScaleNormal="80" workbookViewId="0">
      <selection activeCell="G71" sqref="G71"/>
    </sheetView>
  </sheetViews>
  <sheetFormatPr defaultColWidth="8.83203125" defaultRowHeight="18" customHeight="1" outlineLevelRow="1"/>
  <cols>
    <col min="1" max="1" width="1.6640625" style="111" customWidth="1"/>
    <col min="2" max="2" width="2.08203125" style="111" customWidth="1"/>
    <col min="3" max="3" width="24" style="111" customWidth="1"/>
    <col min="4" max="4" width="26.1640625" style="416" customWidth="1"/>
    <col min="5" max="5" width="14.6640625" style="40" customWidth="1"/>
    <col min="6" max="6" width="6.58203125" style="416" customWidth="1"/>
    <col min="7" max="7" width="13.5" style="111" customWidth="1"/>
    <col min="8" max="8" width="11.9140625" style="111" customWidth="1"/>
    <col min="9" max="9" width="8.58203125" style="111" customWidth="1"/>
    <col min="10" max="10" width="11.4140625" style="111" customWidth="1"/>
    <col min="11" max="11" width="12.58203125" style="111" customWidth="1"/>
    <col min="12" max="12" width="12.5" style="111" customWidth="1"/>
    <col min="13" max="13" width="10.9140625" style="111" customWidth="1"/>
    <col min="14" max="14" width="10.83203125" style="111" customWidth="1"/>
    <col min="15" max="15" width="11.4140625" style="111" customWidth="1"/>
    <col min="16" max="16" width="12.33203125" style="111" customWidth="1"/>
    <col min="17" max="17" width="8.83203125" style="111"/>
    <col min="18" max="18" width="12.6640625" style="111" customWidth="1"/>
    <col min="19" max="20" width="8.83203125" style="111"/>
    <col min="21" max="21" width="12.6640625" style="111" customWidth="1"/>
    <col min="22" max="25" width="8.83203125" style="111"/>
    <col min="26" max="27" width="20.6640625" style="111" customWidth="1"/>
    <col min="28" max="16384" width="8.83203125" style="111"/>
  </cols>
  <sheetData>
    <row r="1" spans="3:54" ht="16.2" thickBot="1">
      <c r="E1" s="417"/>
      <c r="P1" s="417"/>
      <c r="Q1" s="417"/>
      <c r="R1" s="417"/>
      <c r="S1" s="417"/>
      <c r="T1" s="417"/>
      <c r="U1" s="417"/>
      <c r="V1" s="417"/>
      <c r="W1" s="417"/>
      <c r="X1" s="417"/>
      <c r="Y1" s="417"/>
      <c r="Z1" s="417"/>
      <c r="AA1" s="417"/>
      <c r="AB1" s="417"/>
      <c r="AC1" s="417"/>
      <c r="AD1" s="417"/>
      <c r="AE1" s="417"/>
      <c r="AF1" s="417"/>
      <c r="AG1" s="417"/>
      <c r="AH1" s="40"/>
      <c r="AI1" s="40"/>
      <c r="AJ1" s="40"/>
      <c r="AK1" s="40"/>
      <c r="AL1" s="40"/>
      <c r="AM1" s="40"/>
      <c r="AN1" s="40"/>
      <c r="AO1" s="40"/>
      <c r="AP1" s="40"/>
      <c r="AQ1" s="40"/>
      <c r="AR1" s="40"/>
      <c r="AS1" s="40"/>
      <c r="AT1" s="40"/>
    </row>
    <row r="2" spans="3:54" ht="20.25" customHeight="1">
      <c r="C2" s="878" t="s">
        <v>0</v>
      </c>
      <c r="D2" s="1010" t="s">
        <v>720</v>
      </c>
      <c r="E2" s="418"/>
      <c r="F2" s="1311" t="s">
        <v>575</v>
      </c>
      <c r="G2" s="1311"/>
      <c r="H2" s="1311"/>
      <c r="I2" s="1311"/>
      <c r="J2" s="750"/>
      <c r="K2" s="750"/>
      <c r="L2" s="750"/>
      <c r="M2" s="750"/>
      <c r="S2" s="417"/>
      <c r="T2" s="417"/>
      <c r="U2" s="417"/>
      <c r="V2" s="417"/>
      <c r="W2" s="417"/>
      <c r="X2" s="417"/>
      <c r="Y2" s="417"/>
      <c r="Z2" s="417"/>
      <c r="AA2" s="417"/>
      <c r="AB2" s="417"/>
      <c r="AC2" s="417"/>
      <c r="AD2" s="417"/>
      <c r="AE2" s="417"/>
      <c r="AF2" s="417"/>
      <c r="AG2" s="417"/>
      <c r="AH2" s="40"/>
      <c r="AI2" s="40"/>
      <c r="AJ2" s="40"/>
      <c r="AK2" s="40"/>
      <c r="AL2" s="40"/>
      <c r="AM2" s="40"/>
      <c r="AN2" s="40"/>
      <c r="AO2" s="40"/>
      <c r="AP2" s="40"/>
      <c r="AQ2" s="40"/>
      <c r="AR2" s="40"/>
      <c r="AS2" s="40"/>
      <c r="AT2" s="40"/>
    </row>
    <row r="3" spans="3:54">
      <c r="C3" s="746" t="s">
        <v>2</v>
      </c>
      <c r="D3" s="1011" t="s">
        <v>582</v>
      </c>
      <c r="E3" s="419"/>
      <c r="F3" s="1311"/>
      <c r="G3" s="1311"/>
      <c r="H3" s="1311"/>
      <c r="I3" s="1311"/>
      <c r="P3" s="417"/>
      <c r="Q3" s="417"/>
      <c r="R3" s="417"/>
      <c r="S3" s="417"/>
      <c r="T3" s="417"/>
      <c r="U3" s="417"/>
      <c r="V3" s="417"/>
      <c r="W3" s="417"/>
      <c r="X3" s="417"/>
      <c r="Y3" s="417"/>
      <c r="Z3" s="417"/>
      <c r="AA3" s="417"/>
      <c r="AB3" s="417"/>
      <c r="AC3" s="417"/>
      <c r="AD3" s="417"/>
      <c r="AE3" s="417"/>
      <c r="AF3" s="417"/>
      <c r="AG3" s="417"/>
      <c r="AH3" s="40"/>
      <c r="AI3" s="40"/>
      <c r="AJ3" s="40"/>
      <c r="AK3" s="40"/>
      <c r="AL3" s="40"/>
      <c r="AM3" s="40"/>
      <c r="AN3" s="40"/>
      <c r="AO3" s="40"/>
      <c r="AP3" s="40"/>
      <c r="AQ3" s="40"/>
      <c r="AR3" s="40"/>
      <c r="AS3" s="40"/>
      <c r="AT3" s="40"/>
    </row>
    <row r="4" spans="3:54">
      <c r="C4" s="746" t="s">
        <v>3</v>
      </c>
      <c r="D4" s="747" t="s">
        <v>402</v>
      </c>
      <c r="E4" s="419"/>
      <c r="F4" s="417"/>
      <c r="P4" s="417"/>
      <c r="Q4" s="417"/>
      <c r="R4" s="417"/>
      <c r="S4" s="417"/>
      <c r="T4" s="417"/>
      <c r="U4" s="417"/>
      <c r="V4" s="417"/>
      <c r="W4" s="417"/>
      <c r="X4" s="417"/>
      <c r="Y4" s="417"/>
      <c r="Z4" s="417"/>
      <c r="AA4" s="417"/>
      <c r="AB4" s="417"/>
      <c r="AC4" s="417"/>
      <c r="AD4" s="417"/>
      <c r="AE4" s="417"/>
      <c r="AF4" s="417"/>
      <c r="AG4" s="417"/>
      <c r="AH4" s="40"/>
      <c r="AI4" s="40"/>
      <c r="AJ4" s="40"/>
      <c r="AK4" s="40"/>
      <c r="AL4" s="40"/>
      <c r="AM4" s="40"/>
      <c r="AN4" s="40"/>
      <c r="AO4" s="40"/>
      <c r="AP4" s="40"/>
      <c r="AQ4" s="40"/>
      <c r="AR4" s="40"/>
      <c r="AS4" s="40"/>
      <c r="AT4" s="40"/>
    </row>
    <row r="5" spans="3:54">
      <c r="C5" s="746" t="s">
        <v>4</v>
      </c>
      <c r="D5" s="747" t="s">
        <v>404</v>
      </c>
      <c r="E5" s="419"/>
      <c r="F5" s="417"/>
      <c r="P5" s="417"/>
      <c r="Q5" s="417"/>
      <c r="R5" s="417"/>
      <c r="S5" s="417"/>
      <c r="T5" s="417"/>
      <c r="U5" s="417"/>
      <c r="V5" s="417"/>
      <c r="W5" s="417"/>
      <c r="X5" s="417"/>
      <c r="Y5" s="417"/>
      <c r="Z5" s="417"/>
      <c r="AA5" s="417"/>
      <c r="AB5" s="417"/>
      <c r="AC5" s="417"/>
      <c r="AD5" s="417"/>
      <c r="AE5" s="417"/>
      <c r="AF5" s="417"/>
      <c r="AG5" s="417"/>
      <c r="AH5" s="40"/>
      <c r="AI5" s="40"/>
      <c r="AJ5" s="40"/>
      <c r="AK5" s="40"/>
      <c r="AL5" s="40"/>
      <c r="AM5" s="40"/>
      <c r="AN5" s="40"/>
      <c r="AO5" s="40"/>
      <c r="AP5" s="40"/>
      <c r="AQ5" s="40"/>
      <c r="AR5" s="40"/>
      <c r="AS5" s="40"/>
      <c r="AT5" s="40"/>
    </row>
    <row r="6" spans="3:54" ht="18.600000000000001" thickBot="1">
      <c r="C6" s="748" t="s">
        <v>1</v>
      </c>
      <c r="D6" s="749" t="s">
        <v>403</v>
      </c>
      <c r="E6" s="417"/>
      <c r="F6" s="417"/>
      <c r="P6" s="417"/>
      <c r="Q6" s="417"/>
      <c r="R6" s="417"/>
      <c r="S6" s="417"/>
      <c r="T6" s="417"/>
      <c r="U6" s="417"/>
      <c r="V6" s="417"/>
      <c r="W6" s="417"/>
      <c r="X6" s="417"/>
      <c r="Y6" s="417"/>
      <c r="Z6" s="417"/>
      <c r="AA6" s="417"/>
      <c r="AB6" s="417"/>
      <c r="AC6" s="417"/>
      <c r="AD6" s="417"/>
      <c r="AE6" s="417"/>
      <c r="AF6" s="417"/>
      <c r="AG6" s="417"/>
      <c r="AH6" s="40"/>
      <c r="AI6" s="40"/>
      <c r="AJ6" s="40"/>
      <c r="AK6" s="40"/>
      <c r="AL6" s="40"/>
      <c r="AM6" s="40"/>
      <c r="AN6" s="40"/>
      <c r="AO6" s="40"/>
      <c r="AP6" s="40"/>
      <c r="AQ6" s="40"/>
      <c r="AR6" s="40"/>
      <c r="AS6" s="40"/>
      <c r="AT6" s="40"/>
    </row>
    <row r="7" spans="3:54" ht="12" customHeight="1" thickBot="1">
      <c r="C7" s="421"/>
      <c r="D7" s="422"/>
      <c r="E7" s="417"/>
      <c r="F7" s="417"/>
      <c r="P7" s="417"/>
      <c r="Q7" s="417"/>
      <c r="R7" s="417"/>
      <c r="S7" s="417"/>
      <c r="T7" s="417"/>
      <c r="U7" s="417"/>
      <c r="V7" s="417"/>
      <c r="W7" s="417"/>
      <c r="X7" s="417"/>
      <c r="Y7" s="417"/>
      <c r="Z7" s="417"/>
      <c r="AA7" s="417"/>
      <c r="AB7" s="417"/>
      <c r="AC7" s="417"/>
      <c r="AD7" s="417"/>
      <c r="AE7" s="417"/>
      <c r="AF7" s="417"/>
      <c r="AG7" s="417"/>
      <c r="AH7" s="40"/>
      <c r="AI7" s="40"/>
      <c r="AJ7" s="40"/>
      <c r="AK7" s="40"/>
      <c r="AL7" s="40"/>
      <c r="AM7" s="40"/>
      <c r="AN7" s="40"/>
      <c r="AO7" s="40"/>
      <c r="AP7" s="40"/>
      <c r="AQ7" s="40"/>
      <c r="AR7" s="40"/>
      <c r="AS7" s="40"/>
      <c r="AT7" s="40"/>
    </row>
    <row r="8" spans="3:54" ht="18.600000000000001" thickBot="1">
      <c r="C8" s="742" t="s">
        <v>6</v>
      </c>
      <c r="D8" s="743"/>
      <c r="E8" s="417"/>
      <c r="F8" s="417"/>
      <c r="P8" s="417"/>
      <c r="Q8" s="417"/>
      <c r="R8" s="417"/>
      <c r="S8" s="417"/>
      <c r="T8" s="417"/>
      <c r="U8" s="417"/>
      <c r="V8" s="417"/>
      <c r="W8" s="417"/>
      <c r="X8" s="417"/>
      <c r="Y8" s="417"/>
      <c r="Z8" s="423" t="s">
        <v>6</v>
      </c>
      <c r="AA8" s="424"/>
      <c r="AB8" s="417"/>
      <c r="AC8" s="417"/>
      <c r="AD8" s="417"/>
      <c r="AE8" s="417"/>
      <c r="AF8" s="417"/>
      <c r="AG8" s="417"/>
      <c r="AH8" s="40"/>
      <c r="AI8" s="40"/>
      <c r="AJ8" s="40"/>
      <c r="AK8" s="40"/>
      <c r="AL8" s="40"/>
      <c r="AM8" s="40"/>
      <c r="AN8" s="40"/>
      <c r="AO8" s="40"/>
      <c r="AP8" s="40"/>
      <c r="AQ8" s="40"/>
      <c r="AR8" s="40"/>
      <c r="AS8" s="40"/>
      <c r="AT8" s="40"/>
    </row>
    <row r="9" spans="3:54" ht="18.600000000000001" thickBot="1">
      <c r="C9" s="751" t="s">
        <v>7</v>
      </c>
      <c r="D9" s="752"/>
      <c r="E9" s="417"/>
      <c r="F9" s="417"/>
      <c r="P9" s="417"/>
      <c r="Q9" s="417"/>
      <c r="R9" s="417"/>
      <c r="S9" s="417"/>
      <c r="T9" s="417"/>
      <c r="U9" s="417"/>
      <c r="V9" s="417"/>
      <c r="W9" s="417"/>
      <c r="X9" s="417"/>
      <c r="Y9" s="417"/>
      <c r="Z9" s="423" t="s">
        <v>7</v>
      </c>
      <c r="AA9" s="424"/>
      <c r="AB9" s="417"/>
      <c r="AC9" s="417"/>
      <c r="AD9" s="417"/>
      <c r="AE9" s="417"/>
      <c r="AF9" s="417"/>
      <c r="AG9" s="417"/>
      <c r="AH9" s="40"/>
      <c r="AI9" s="40"/>
      <c r="AJ9" s="40"/>
      <c r="AK9" s="40"/>
      <c r="AL9" s="40"/>
      <c r="AM9" s="40"/>
      <c r="AN9" s="40"/>
      <c r="AO9" s="40"/>
      <c r="AP9" s="40"/>
      <c r="AQ9" s="40"/>
      <c r="AR9" s="40"/>
      <c r="AS9" s="40"/>
      <c r="AT9" s="40"/>
    </row>
    <row r="10" spans="3:54" ht="18.600000000000001" thickBot="1">
      <c r="C10" s="863" t="s">
        <v>8</v>
      </c>
      <c r="D10" s="864"/>
      <c r="E10" s="417"/>
      <c r="F10" s="417"/>
      <c r="P10" s="417"/>
      <c r="Q10" s="417"/>
      <c r="R10" s="417"/>
      <c r="S10" s="417"/>
      <c r="T10" s="417"/>
      <c r="U10" s="417"/>
      <c r="V10" s="417"/>
      <c r="W10" s="417"/>
      <c r="X10" s="417"/>
      <c r="Y10" s="417"/>
      <c r="Z10" s="423" t="s">
        <v>8</v>
      </c>
      <c r="AA10" s="424"/>
      <c r="AB10" s="417"/>
      <c r="AC10" s="417"/>
      <c r="AD10" s="417"/>
      <c r="AE10" s="417"/>
      <c r="AF10" s="417"/>
      <c r="AG10" s="417"/>
      <c r="AH10" s="40"/>
      <c r="AI10" s="40"/>
      <c r="AJ10" s="40"/>
      <c r="AK10" s="40"/>
      <c r="AL10" s="40"/>
      <c r="AM10" s="40"/>
      <c r="AN10" s="40"/>
      <c r="AO10" s="40"/>
      <c r="AP10" s="40"/>
      <c r="AQ10" s="40"/>
      <c r="AR10" s="40"/>
      <c r="AS10" s="40"/>
      <c r="AT10" s="40"/>
    </row>
    <row r="11" spans="3:54" ht="18.600000000000001" thickBot="1">
      <c r="C11" s="744" t="s">
        <v>9</v>
      </c>
      <c r="D11" s="745"/>
      <c r="E11" s="417"/>
      <c r="F11" s="417"/>
      <c r="P11" s="417"/>
      <c r="Q11" s="417"/>
      <c r="R11" s="417"/>
      <c r="S11" s="417"/>
      <c r="T11" s="417"/>
      <c r="U11" s="417"/>
      <c r="V11" s="417"/>
      <c r="W11" s="417"/>
      <c r="X11" s="417"/>
      <c r="Y11" s="417"/>
      <c r="Z11" s="425"/>
      <c r="AA11" s="426"/>
      <c r="AB11" s="417"/>
      <c r="AC11" s="417"/>
      <c r="AD11" s="417"/>
      <c r="AE11" s="417"/>
      <c r="AF11" s="417"/>
      <c r="AG11" s="417"/>
      <c r="AH11" s="40"/>
      <c r="AI11" s="40"/>
      <c r="AJ11" s="40"/>
      <c r="AK11" s="40"/>
      <c r="AL11" s="40"/>
      <c r="AM11" s="40"/>
      <c r="AN11" s="40"/>
      <c r="AO11" s="40"/>
      <c r="AP11" s="40"/>
      <c r="AQ11" s="40"/>
      <c r="AR11" s="40"/>
      <c r="AS11" s="40"/>
      <c r="AT11" s="40"/>
    </row>
    <row r="12" spans="3:54" ht="14.25" customHeight="1" thickBot="1">
      <c r="E12" s="417"/>
      <c r="P12" s="417"/>
      <c r="Q12" s="417"/>
      <c r="R12" s="417"/>
      <c r="S12" s="417"/>
      <c r="T12" s="417"/>
      <c r="U12" s="417"/>
      <c r="V12" s="417"/>
      <c r="W12" s="417"/>
      <c r="X12" s="417"/>
      <c r="Y12" s="417"/>
      <c r="Z12" s="417"/>
      <c r="AA12" s="417"/>
      <c r="AB12" s="417"/>
      <c r="AC12" s="417"/>
      <c r="AD12" s="417"/>
      <c r="AE12" s="417"/>
      <c r="AF12" s="417"/>
      <c r="AG12" s="417"/>
      <c r="AH12" s="40"/>
      <c r="AI12" s="40"/>
      <c r="AJ12" s="40"/>
      <c r="AK12" s="40"/>
      <c r="AL12" s="40"/>
      <c r="AM12" s="40"/>
      <c r="AN12" s="40"/>
      <c r="AO12" s="40"/>
      <c r="AP12" s="40"/>
      <c r="AQ12" s="40"/>
      <c r="AR12" s="40"/>
      <c r="AS12" s="40"/>
      <c r="AT12" s="40"/>
    </row>
    <row r="13" spans="3:54" ht="18" customHeight="1" thickBot="1">
      <c r="C13" s="1317" t="s">
        <v>525</v>
      </c>
      <c r="D13" s="1318"/>
      <c r="E13" s="876" t="s">
        <v>10</v>
      </c>
      <c r="F13" s="416" t="s">
        <v>11</v>
      </c>
      <c r="I13" s="417"/>
      <c r="J13" s="417"/>
      <c r="K13" s="417" t="s">
        <v>11</v>
      </c>
      <c r="L13" s="417"/>
      <c r="M13" s="417"/>
      <c r="N13" s="417"/>
      <c r="O13" s="111" t="s">
        <v>11</v>
      </c>
      <c r="P13" s="417"/>
      <c r="Q13" s="417"/>
      <c r="R13" s="417"/>
      <c r="S13" s="417"/>
      <c r="T13" s="417"/>
      <c r="U13" s="417"/>
      <c r="V13" s="417"/>
      <c r="W13" s="417"/>
      <c r="X13" s="417"/>
      <c r="Y13" s="417"/>
      <c r="Z13" s="417"/>
      <c r="AA13" s="417"/>
      <c r="AB13" s="417"/>
      <c r="AC13" s="417"/>
      <c r="AD13" s="417"/>
      <c r="AE13" s="417"/>
      <c r="AF13" s="417"/>
      <c r="AG13" s="417"/>
      <c r="AH13" s="40"/>
      <c r="AI13" s="40"/>
      <c r="AJ13" s="40"/>
      <c r="AK13" s="40"/>
      <c r="AL13" s="40"/>
      <c r="AM13" s="40"/>
      <c r="AN13" s="40"/>
      <c r="AO13" s="40"/>
      <c r="AP13" s="40"/>
      <c r="AQ13" s="40"/>
      <c r="AR13" s="40"/>
      <c r="AS13" s="40"/>
      <c r="AT13" s="40"/>
    </row>
    <row r="14" spans="3:54" ht="16.5" customHeight="1" thickBot="1">
      <c r="E14" s="427" t="s">
        <v>549</v>
      </c>
      <c r="F14" s="416" t="s">
        <v>11</v>
      </c>
      <c r="I14" s="417"/>
      <c r="J14" s="417"/>
      <c r="K14" s="417" t="s">
        <v>11</v>
      </c>
      <c r="L14" s="417"/>
      <c r="M14" s="417"/>
      <c r="N14" s="417"/>
      <c r="P14" s="417"/>
      <c r="Q14" s="417"/>
      <c r="R14" s="417"/>
      <c r="S14" s="417"/>
      <c r="T14" s="417"/>
      <c r="U14" s="417"/>
      <c r="V14" s="417"/>
      <c r="W14" s="417"/>
      <c r="X14" s="417"/>
      <c r="Y14" s="417"/>
      <c r="Z14" s="417"/>
      <c r="AA14" s="417"/>
      <c r="AB14" s="417"/>
      <c r="AC14" s="417"/>
      <c r="AD14" s="417"/>
      <c r="AE14" s="417"/>
      <c r="AF14" s="417"/>
      <c r="AG14" s="417"/>
      <c r="AH14" s="40"/>
      <c r="AI14" s="40"/>
      <c r="AJ14" s="40"/>
      <c r="AK14" s="40"/>
      <c r="AL14" s="40"/>
      <c r="AM14" s="40"/>
      <c r="AN14" s="40"/>
      <c r="AO14" s="40"/>
      <c r="AP14" s="40"/>
      <c r="AQ14" s="40"/>
      <c r="AR14" s="40"/>
      <c r="AS14" s="40"/>
      <c r="AT14" s="40"/>
    </row>
    <row r="15" spans="3:54" ht="19.5" customHeight="1" thickBot="1">
      <c r="C15" s="428" t="s">
        <v>12</v>
      </c>
      <c r="D15" s="429"/>
      <c r="E15" s="427" t="s">
        <v>721</v>
      </c>
      <c r="F15" s="416" t="s">
        <v>11</v>
      </c>
      <c r="G15" s="417"/>
      <c r="H15" s="430"/>
      <c r="I15" s="417"/>
      <c r="J15" s="417"/>
      <c r="K15" s="417" t="s">
        <v>11</v>
      </c>
      <c r="L15" s="417"/>
      <c r="M15" s="417"/>
      <c r="N15" s="417"/>
      <c r="O15" s="417"/>
      <c r="P15" s="417"/>
      <c r="Q15" s="417"/>
      <c r="R15" s="417"/>
      <c r="S15" s="417"/>
      <c r="T15" s="417"/>
      <c r="U15" s="417"/>
      <c r="V15" s="417"/>
      <c r="W15" s="417"/>
      <c r="X15" s="417"/>
      <c r="Y15" s="417"/>
      <c r="Z15" s="417"/>
      <c r="AA15" s="417"/>
      <c r="AB15" s="417"/>
      <c r="AC15" s="417"/>
      <c r="AD15" s="417"/>
      <c r="AE15" s="417"/>
      <c r="AF15" s="417"/>
      <c r="AG15" s="417"/>
      <c r="AH15" s="40"/>
      <c r="AI15" s="40"/>
      <c r="AJ15" s="40"/>
      <c r="AK15" s="40"/>
      <c r="AL15" s="40"/>
      <c r="AM15" s="40"/>
      <c r="AN15" s="40"/>
      <c r="AO15" s="40"/>
      <c r="AP15" s="40"/>
      <c r="AQ15" s="40"/>
      <c r="AR15" s="40"/>
      <c r="AS15" s="40"/>
      <c r="AT15" s="40"/>
      <c r="AU15" s="40"/>
      <c r="AV15" s="40"/>
      <c r="AW15" s="40"/>
      <c r="AX15" s="40"/>
      <c r="AY15" s="40"/>
      <c r="AZ15" s="40"/>
      <c r="BA15" s="40"/>
      <c r="BB15" s="40"/>
    </row>
    <row r="16" spans="3:54" ht="18.75" customHeight="1">
      <c r="C16" s="431" t="s">
        <v>13</v>
      </c>
      <c r="D16" s="432" t="str">
        <f>MID(E16,17,7)</f>
        <v>62-7032</v>
      </c>
      <c r="E16" s="427" t="s">
        <v>722</v>
      </c>
      <c r="F16" s="416" t="s">
        <v>11</v>
      </c>
      <c r="G16" s="417"/>
      <c r="H16" s="433"/>
      <c r="I16" s="417"/>
      <c r="J16" s="417"/>
      <c r="K16" s="417" t="s">
        <v>11</v>
      </c>
      <c r="L16" s="417"/>
      <c r="M16" s="417"/>
      <c r="N16" s="417"/>
      <c r="O16" s="417"/>
      <c r="P16" s="417"/>
      <c r="Q16" s="417"/>
      <c r="R16" s="417"/>
      <c r="S16" s="417"/>
      <c r="T16" s="417"/>
      <c r="U16" s="417"/>
      <c r="V16" s="417"/>
      <c r="W16" s="417"/>
      <c r="X16" s="417"/>
      <c r="Y16" s="417"/>
      <c r="Z16" s="417"/>
      <c r="AA16" s="417"/>
      <c r="AB16" s="417"/>
      <c r="AC16" s="417"/>
      <c r="AD16" s="417"/>
      <c r="AE16" s="417"/>
      <c r="AF16" s="417"/>
      <c r="AG16" s="417"/>
      <c r="AH16" s="40"/>
      <c r="AI16" s="40"/>
      <c r="AJ16" s="40"/>
      <c r="AK16" s="40"/>
      <c r="AL16" s="40"/>
      <c r="AM16" s="40"/>
      <c r="AN16" s="40"/>
      <c r="AO16" s="40"/>
      <c r="AP16" s="40"/>
      <c r="AQ16" s="40"/>
      <c r="AR16" s="40"/>
      <c r="AS16" s="40"/>
      <c r="AT16" s="40"/>
    </row>
    <row r="17" spans="3:46" ht="18.75" customHeight="1">
      <c r="C17" s="431" t="s">
        <v>14</v>
      </c>
      <c r="D17" s="432" t="str">
        <f>MID(E21,63, 7)</f>
        <v>61-1620</v>
      </c>
      <c r="E17" s="427" t="s">
        <v>723</v>
      </c>
      <c r="F17" s="416" t="s">
        <v>11</v>
      </c>
      <c r="G17" s="417"/>
      <c r="H17" s="434"/>
      <c r="I17" s="417"/>
      <c r="J17" s="417"/>
      <c r="K17" s="417" t="s">
        <v>11</v>
      </c>
      <c r="L17" s="417"/>
      <c r="M17" s="417"/>
      <c r="N17" s="417"/>
      <c r="O17" s="417" t="s">
        <v>11</v>
      </c>
      <c r="P17" s="417"/>
      <c r="Q17" s="417"/>
      <c r="R17" s="417"/>
      <c r="S17" s="417"/>
      <c r="T17" s="417"/>
      <c r="U17" s="417"/>
      <c r="V17" s="417"/>
      <c r="W17" s="417"/>
      <c r="X17" s="417"/>
      <c r="Y17" s="417"/>
      <c r="Z17" s="417"/>
      <c r="AA17" s="417"/>
      <c r="AB17" s="417"/>
      <c r="AC17" s="417"/>
      <c r="AD17" s="417"/>
      <c r="AE17" s="417"/>
      <c r="AF17" s="417"/>
      <c r="AG17" s="417"/>
      <c r="AH17" s="40"/>
      <c r="AI17" s="40"/>
      <c r="AJ17" s="40"/>
      <c r="AK17" s="40"/>
      <c r="AL17" s="40"/>
      <c r="AM17" s="40"/>
      <c r="AN17" s="40"/>
      <c r="AO17" s="40"/>
      <c r="AP17" s="40"/>
      <c r="AQ17" s="40"/>
      <c r="AR17" s="40"/>
      <c r="AS17" s="40"/>
      <c r="AT17" s="40"/>
    </row>
    <row r="18" spans="3:46" ht="18.75" customHeight="1">
      <c r="C18" s="431" t="s">
        <v>15</v>
      </c>
      <c r="D18" s="432" t="str">
        <f>MID(E20,63, 7)</f>
        <v>00-0000</v>
      </c>
      <c r="E18" s="427" t="s">
        <v>724</v>
      </c>
      <c r="F18" s="416" t="s">
        <v>11</v>
      </c>
      <c r="G18" s="417"/>
      <c r="H18" s="417"/>
      <c r="I18" s="417"/>
      <c r="J18" s="417"/>
      <c r="K18" s="417" t="s">
        <v>11</v>
      </c>
      <c r="L18" s="417"/>
      <c r="M18" s="417"/>
      <c r="N18" s="417"/>
      <c r="O18" s="417"/>
      <c r="P18" s="417"/>
      <c r="Q18" s="417"/>
      <c r="R18" s="417"/>
      <c r="S18" s="417"/>
      <c r="T18" s="417"/>
      <c r="U18" s="417"/>
      <c r="V18" s="417"/>
      <c r="W18" s="417"/>
      <c r="X18" s="417"/>
      <c r="Y18" s="417"/>
      <c r="Z18" s="417"/>
      <c r="AA18" s="417"/>
      <c r="AB18" s="417"/>
      <c r="AC18" s="417"/>
      <c r="AD18" s="417"/>
      <c r="AE18" s="417"/>
      <c r="AF18" s="417"/>
      <c r="AG18" s="417"/>
      <c r="AH18" s="40"/>
      <c r="AI18" s="40"/>
      <c r="AJ18" s="40"/>
      <c r="AK18" s="40"/>
      <c r="AL18" s="40"/>
      <c r="AM18" s="40"/>
      <c r="AN18" s="40"/>
      <c r="AO18" s="40"/>
      <c r="AP18" s="40"/>
      <c r="AQ18" s="40"/>
      <c r="AR18" s="40"/>
      <c r="AS18" s="40"/>
      <c r="AT18" s="40"/>
    </row>
    <row r="19" spans="3:46" ht="15.75" customHeight="1">
      <c r="C19" s="431" t="s">
        <v>16</v>
      </c>
      <c r="D19" s="435">
        <f>IF(MID(E25,22,7)="       ",0,MID(E25,22,7)/100)</f>
        <v>0.08</v>
      </c>
      <c r="E19" s="427"/>
      <c r="F19" s="416" t="s">
        <v>11</v>
      </c>
      <c r="G19" s="417"/>
      <c r="H19" s="417"/>
      <c r="I19" s="417"/>
      <c r="J19" s="417"/>
      <c r="K19" s="417" t="s">
        <v>11</v>
      </c>
      <c r="L19" s="417"/>
      <c r="M19" s="417"/>
      <c r="N19" s="417"/>
      <c r="O19" s="417"/>
      <c r="P19" s="417"/>
      <c r="Q19" s="417"/>
      <c r="R19" s="417"/>
      <c r="S19" s="417"/>
      <c r="T19" s="417"/>
      <c r="U19" s="417"/>
      <c r="V19" s="417"/>
      <c r="W19" s="417"/>
      <c r="X19" s="417"/>
      <c r="Y19" s="417"/>
      <c r="Z19" s="417"/>
      <c r="AA19" s="417"/>
      <c r="AB19" s="417"/>
      <c r="AC19" s="417"/>
      <c r="AD19" s="417"/>
      <c r="AE19" s="417"/>
      <c r="AF19" s="417"/>
      <c r="AG19" s="417"/>
      <c r="AH19" s="40"/>
      <c r="AI19" s="40"/>
      <c r="AJ19" s="40"/>
      <c r="AK19" s="40"/>
      <c r="AL19" s="40"/>
      <c r="AM19" s="40"/>
      <c r="AN19" s="40"/>
      <c r="AO19" s="40"/>
      <c r="AP19" s="40"/>
      <c r="AQ19" s="40"/>
      <c r="AR19" s="40"/>
      <c r="AS19" s="40"/>
      <c r="AT19" s="40"/>
    </row>
    <row r="20" spans="3:46" ht="15.75" customHeight="1">
      <c r="C20" s="431" t="s">
        <v>17</v>
      </c>
      <c r="D20" s="436" t="str">
        <f>MID(E25,37,2)</f>
        <v>23</v>
      </c>
      <c r="E20" s="427" t="s">
        <v>725</v>
      </c>
      <c r="F20" s="416" t="s">
        <v>11</v>
      </c>
      <c r="G20" s="417"/>
      <c r="H20" s="417"/>
      <c r="I20" s="417"/>
      <c r="J20" s="417"/>
      <c r="K20" s="417" t="s">
        <v>11</v>
      </c>
      <c r="L20" s="417"/>
      <c r="M20" s="417"/>
      <c r="N20" s="417"/>
      <c r="O20" s="417"/>
      <c r="P20" s="417"/>
      <c r="Q20" s="417"/>
      <c r="R20" s="417"/>
      <c r="S20" s="417"/>
      <c r="T20" s="417"/>
      <c r="U20" s="417"/>
      <c r="V20" s="417"/>
      <c r="W20" s="417"/>
      <c r="X20" s="417"/>
      <c r="Y20" s="417"/>
      <c r="Z20" s="417"/>
      <c r="AA20" s="417"/>
      <c r="AB20" s="417"/>
      <c r="AC20" s="417"/>
      <c r="AD20" s="417"/>
      <c r="AE20" s="417"/>
      <c r="AF20" s="417"/>
      <c r="AG20" s="417"/>
      <c r="AH20" s="40"/>
      <c r="AI20" s="40"/>
      <c r="AJ20" s="40"/>
      <c r="AK20" s="40"/>
      <c r="AL20" s="40"/>
      <c r="AM20" s="40"/>
      <c r="AN20" s="40"/>
      <c r="AO20" s="40"/>
      <c r="AP20" s="40"/>
      <c r="AQ20" s="40"/>
      <c r="AR20" s="40"/>
      <c r="AS20" s="40"/>
      <c r="AT20" s="40"/>
    </row>
    <row r="21" spans="3:46" ht="15.75" customHeight="1">
      <c r="C21" s="431" t="s">
        <v>18</v>
      </c>
      <c r="D21" s="436" t="str">
        <f>MID(E29,27,23)</f>
        <v xml:space="preserve">NATL INST-OF-HEALTH    </v>
      </c>
      <c r="E21" s="427" t="s">
        <v>726</v>
      </c>
      <c r="F21" s="416" t="s">
        <v>11</v>
      </c>
      <c r="G21" s="417"/>
      <c r="H21" s="417"/>
      <c r="I21" s="417"/>
      <c r="J21" s="417"/>
      <c r="K21" s="417" t="s">
        <v>11</v>
      </c>
      <c r="L21" s="417"/>
      <c r="M21" s="417"/>
      <c r="N21" s="417"/>
      <c r="O21" s="417" t="s">
        <v>11</v>
      </c>
      <c r="P21" s="417"/>
      <c r="Q21" s="417"/>
      <c r="R21" s="417"/>
      <c r="S21" s="417"/>
      <c r="T21" s="417"/>
      <c r="U21" s="417"/>
      <c r="V21" s="417"/>
      <c r="W21" s="417"/>
      <c r="X21" s="417"/>
      <c r="Y21" s="417"/>
      <c r="Z21" s="417"/>
      <c r="AA21" s="417"/>
      <c r="AB21" s="417"/>
      <c r="AC21" s="417"/>
      <c r="AD21" s="417"/>
      <c r="AE21" s="417"/>
      <c r="AF21" s="417"/>
      <c r="AG21" s="417"/>
      <c r="AH21" s="40"/>
      <c r="AI21" s="40"/>
      <c r="AJ21" s="40"/>
      <c r="AK21" s="40"/>
      <c r="AL21" s="40"/>
      <c r="AM21" s="40"/>
      <c r="AN21" s="40"/>
      <c r="AO21" s="40"/>
      <c r="AP21" s="40"/>
      <c r="AQ21" s="40"/>
      <c r="AR21" s="40"/>
      <c r="AS21" s="40"/>
      <c r="AT21" s="40"/>
    </row>
    <row r="22" spans="3:46" ht="15.75" customHeight="1">
      <c r="C22" s="431" t="s">
        <v>19</v>
      </c>
      <c r="D22" s="436" t="str">
        <f>MID(E16,28,22)</f>
        <v xml:space="preserve">SUMMER R25            </v>
      </c>
      <c r="E22" s="427" t="s">
        <v>727</v>
      </c>
      <c r="F22" s="416" t="s">
        <v>11</v>
      </c>
      <c r="G22" s="417"/>
      <c r="H22" s="417"/>
      <c r="I22" s="417"/>
      <c r="J22" s="417"/>
      <c r="K22" s="417" t="s">
        <v>11</v>
      </c>
      <c r="L22" s="417"/>
      <c r="M22" s="417"/>
      <c r="N22" s="417"/>
      <c r="O22" s="417" t="s">
        <v>11</v>
      </c>
      <c r="P22" s="417"/>
      <c r="Q22" s="417"/>
      <c r="R22" s="417"/>
      <c r="S22" s="417"/>
      <c r="T22" s="417"/>
      <c r="U22" s="417"/>
      <c r="V22" s="417"/>
      <c r="W22" s="417"/>
      <c r="X22" s="417"/>
      <c r="Y22" s="417"/>
      <c r="Z22" s="417"/>
      <c r="AA22" s="417"/>
      <c r="AB22" s="417"/>
      <c r="AC22" s="417"/>
      <c r="AD22" s="417"/>
      <c r="AE22" s="417"/>
      <c r="AF22" s="417"/>
      <c r="AG22" s="417"/>
      <c r="AH22" s="40"/>
      <c r="AI22" s="40"/>
      <c r="AJ22" s="40"/>
      <c r="AK22" s="40"/>
      <c r="AL22" s="40"/>
      <c r="AM22" s="40"/>
      <c r="AN22" s="40"/>
      <c r="AO22" s="40"/>
      <c r="AP22" s="40"/>
      <c r="AQ22" s="40"/>
      <c r="AR22" s="40"/>
      <c r="AS22" s="40"/>
      <c r="AT22" s="40"/>
    </row>
    <row r="23" spans="3:46" ht="15.75" customHeight="1">
      <c r="C23" s="431" t="s">
        <v>20</v>
      </c>
      <c r="D23" s="437">
        <f>DATEVALUE(MID(E20,14,10))</f>
        <v>42277</v>
      </c>
      <c r="E23" s="427" t="s">
        <v>21</v>
      </c>
      <c r="F23" s="416" t="s">
        <v>11</v>
      </c>
      <c r="G23" s="417"/>
      <c r="H23" s="417"/>
      <c r="I23" s="417"/>
      <c r="J23" s="417"/>
      <c r="K23" s="417" t="s">
        <v>11</v>
      </c>
      <c r="L23" s="417"/>
      <c r="M23" s="417"/>
      <c r="N23" s="417"/>
      <c r="O23" s="417"/>
      <c r="P23" s="417"/>
      <c r="Q23" s="417"/>
      <c r="R23" s="417"/>
      <c r="S23" s="417"/>
      <c r="T23" s="417"/>
      <c r="U23" s="417"/>
      <c r="V23" s="417"/>
      <c r="W23" s="417"/>
      <c r="X23" s="417"/>
      <c r="Y23" s="417"/>
      <c r="Z23" s="417"/>
      <c r="AA23" s="417"/>
      <c r="AB23" s="417"/>
      <c r="AC23" s="417"/>
      <c r="AD23" s="417"/>
      <c r="AE23" s="417"/>
      <c r="AF23" s="417"/>
      <c r="AG23" s="417"/>
      <c r="AH23" s="40"/>
      <c r="AI23" s="40"/>
      <c r="AJ23" s="40"/>
      <c r="AK23" s="40"/>
      <c r="AL23" s="40"/>
      <c r="AM23" s="40"/>
      <c r="AN23" s="40"/>
      <c r="AO23" s="40"/>
      <c r="AP23" s="40"/>
      <c r="AQ23" s="40"/>
      <c r="AR23" s="40"/>
      <c r="AS23" s="40"/>
      <c r="AT23" s="40"/>
    </row>
    <row r="24" spans="3:46" ht="15.75" customHeight="1">
      <c r="C24" s="431" t="s">
        <v>22</v>
      </c>
      <c r="D24" s="437">
        <f>DATEVALUE(MID(E20,37,10))</f>
        <v>42613</v>
      </c>
      <c r="E24" s="427"/>
      <c r="F24" s="416" t="s">
        <v>11</v>
      </c>
      <c r="G24" s="417"/>
      <c r="H24" s="417"/>
      <c r="I24" s="417"/>
      <c r="J24" s="417"/>
      <c r="K24" s="417" t="s">
        <v>11</v>
      </c>
      <c r="L24" s="417"/>
      <c r="M24" s="417"/>
      <c r="N24" s="417"/>
      <c r="O24" s="417"/>
      <c r="P24" s="417"/>
      <c r="Q24" s="417"/>
      <c r="R24" s="417"/>
      <c r="S24" s="417"/>
      <c r="T24" s="417"/>
      <c r="U24" s="417"/>
      <c r="V24" s="417"/>
      <c r="W24" s="417"/>
      <c r="X24" s="417"/>
      <c r="Y24" s="417"/>
      <c r="Z24" s="417"/>
      <c r="AA24" s="417"/>
      <c r="AB24" s="417"/>
      <c r="AC24" s="417"/>
      <c r="AD24" s="417"/>
      <c r="AE24" s="417"/>
      <c r="AF24" s="417"/>
      <c r="AG24" s="417"/>
      <c r="AH24" s="40"/>
      <c r="AI24" s="40"/>
      <c r="AJ24" s="40"/>
      <c r="AK24" s="40"/>
      <c r="AL24" s="40"/>
      <c r="AM24" s="40"/>
      <c r="AN24" s="40"/>
      <c r="AO24" s="40"/>
      <c r="AP24" s="40"/>
      <c r="AQ24" s="40"/>
      <c r="AR24" s="40"/>
      <c r="AS24" s="40"/>
      <c r="AT24" s="40"/>
    </row>
    <row r="25" spans="3:46" ht="15.75" customHeight="1">
      <c r="C25" s="431" t="s">
        <v>23</v>
      </c>
      <c r="D25" s="437">
        <f>DATEVALUE(MID(E21,14,10))</f>
        <v>42277</v>
      </c>
      <c r="E25" s="427" t="s">
        <v>639</v>
      </c>
      <c r="F25" s="416" t="s">
        <v>11</v>
      </c>
      <c r="G25" s="417"/>
      <c r="H25" s="417"/>
      <c r="I25" s="417"/>
      <c r="J25" s="417"/>
      <c r="K25" s="417" t="s">
        <v>11</v>
      </c>
      <c r="L25" s="417"/>
      <c r="M25" s="417"/>
      <c r="N25" s="417"/>
      <c r="O25" s="417"/>
      <c r="P25" s="417"/>
      <c r="Q25" s="417"/>
      <c r="R25" s="417"/>
      <c r="S25" s="417"/>
      <c r="T25" s="417"/>
      <c r="U25" s="417"/>
      <c r="V25" s="417"/>
      <c r="W25" s="417"/>
      <c r="X25" s="417"/>
      <c r="Y25" s="417"/>
      <c r="Z25" s="417"/>
      <c r="AA25" s="417"/>
      <c r="AB25" s="417"/>
      <c r="AC25" s="417"/>
      <c r="AD25" s="417"/>
      <c r="AE25" s="417"/>
      <c r="AF25" s="417"/>
      <c r="AG25" s="417"/>
      <c r="AH25" s="40"/>
      <c r="AI25" s="40"/>
      <c r="AJ25" s="40"/>
      <c r="AK25" s="40"/>
      <c r="AL25" s="40"/>
      <c r="AM25" s="40"/>
      <c r="AN25" s="40"/>
      <c r="AO25" s="40"/>
      <c r="AP25" s="40"/>
      <c r="AQ25" s="40"/>
      <c r="AR25" s="40"/>
      <c r="AS25" s="40"/>
      <c r="AT25" s="40"/>
    </row>
    <row r="26" spans="3:46" ht="15.75" customHeight="1">
      <c r="C26" s="431" t="s">
        <v>24</v>
      </c>
      <c r="D26" s="437">
        <f>DATEVALUE(MID(E21,37,10))</f>
        <v>44074</v>
      </c>
      <c r="E26" s="427" t="s">
        <v>640</v>
      </c>
      <c r="F26" s="416" t="s">
        <v>11</v>
      </c>
      <c r="G26" s="417"/>
      <c r="H26" s="417"/>
      <c r="I26" s="417"/>
      <c r="J26" s="417"/>
      <c r="K26" s="417" t="s">
        <v>11</v>
      </c>
      <c r="L26" s="417"/>
      <c r="M26" s="417"/>
      <c r="N26" s="417"/>
      <c r="O26" s="417"/>
      <c r="P26" s="417"/>
      <c r="Q26" s="417"/>
      <c r="R26" s="417"/>
      <c r="S26" s="417"/>
      <c r="T26" s="417"/>
      <c r="U26" s="417"/>
      <c r="V26" s="417"/>
      <c r="W26" s="417"/>
      <c r="X26" s="417"/>
      <c r="Y26" s="417"/>
      <c r="Z26" s="417"/>
      <c r="AA26" s="417"/>
      <c r="AB26" s="417"/>
      <c r="AC26" s="417"/>
      <c r="AD26" s="417"/>
      <c r="AE26" s="417"/>
      <c r="AF26" s="417"/>
      <c r="AG26" s="417"/>
      <c r="AH26" s="40"/>
      <c r="AI26" s="40"/>
      <c r="AJ26" s="40"/>
      <c r="AK26" s="40"/>
      <c r="AL26" s="40"/>
      <c r="AM26" s="40"/>
      <c r="AN26" s="40"/>
      <c r="AO26" s="40"/>
      <c r="AP26" s="40"/>
      <c r="AQ26" s="40"/>
      <c r="AR26" s="40"/>
      <c r="AS26" s="40"/>
      <c r="AT26" s="40"/>
    </row>
    <row r="27" spans="3:46" ht="15.75" customHeight="1">
      <c r="C27" s="431" t="s">
        <v>25</v>
      </c>
      <c r="D27" s="436" t="str">
        <f>MID(E22,58,22)</f>
        <v>3 R25 NS 095377-01S1</v>
      </c>
      <c r="E27" s="427" t="s">
        <v>728</v>
      </c>
      <c r="F27" s="416" t="s">
        <v>11</v>
      </c>
      <c r="G27" s="417"/>
      <c r="H27" s="98"/>
      <c r="I27" s="417"/>
      <c r="J27" s="417"/>
      <c r="K27" s="417" t="s">
        <v>11</v>
      </c>
      <c r="L27" s="417"/>
      <c r="M27" s="417"/>
      <c r="N27" s="417"/>
      <c r="O27" s="417"/>
      <c r="P27" s="417"/>
      <c r="Q27" s="417"/>
      <c r="R27" s="417"/>
      <c r="S27" s="417"/>
      <c r="T27" s="417"/>
      <c r="U27" s="417"/>
      <c r="V27" s="417"/>
      <c r="W27" s="417"/>
      <c r="X27" s="417"/>
      <c r="Y27" s="417"/>
      <c r="Z27" s="417"/>
      <c r="AA27" s="417"/>
      <c r="AB27" s="417"/>
      <c r="AC27" s="417"/>
      <c r="AD27" s="417"/>
      <c r="AE27" s="417"/>
      <c r="AF27" s="417"/>
      <c r="AG27" s="417"/>
      <c r="AH27" s="40"/>
      <c r="AI27" s="40"/>
      <c r="AJ27" s="40"/>
      <c r="AK27" s="40"/>
      <c r="AL27" s="40"/>
      <c r="AM27" s="40"/>
      <c r="AN27" s="40"/>
      <c r="AO27" s="40"/>
      <c r="AP27" s="40"/>
      <c r="AQ27" s="40"/>
      <c r="AR27" s="40"/>
      <c r="AS27" s="40"/>
      <c r="AT27" s="40"/>
    </row>
    <row r="28" spans="3:46" ht="15.75" customHeight="1">
      <c r="C28" s="431" t="s">
        <v>26</v>
      </c>
      <c r="D28" s="436" t="str">
        <f>MID(E32,45,10)</f>
        <v xml:space="preserve">NS095377A </v>
      </c>
      <c r="E28" s="427"/>
      <c r="F28" s="416" t="s">
        <v>11</v>
      </c>
      <c r="G28" s="417"/>
      <c r="H28" s="98"/>
      <c r="I28" s="417"/>
      <c r="J28" s="417"/>
      <c r="K28" s="417" t="s">
        <v>11</v>
      </c>
      <c r="L28" s="417"/>
      <c r="M28" s="417"/>
      <c r="N28" s="417"/>
      <c r="O28" s="417"/>
      <c r="P28" s="417"/>
      <c r="Q28" s="417"/>
      <c r="R28" s="417"/>
      <c r="S28" s="417"/>
      <c r="T28" s="417"/>
      <c r="U28" s="417"/>
      <c r="V28" s="417"/>
      <c r="W28" s="417"/>
      <c r="X28" s="417"/>
      <c r="Y28" s="417"/>
      <c r="Z28" s="417"/>
      <c r="AA28" s="417"/>
      <c r="AB28" s="417"/>
      <c r="AC28" s="417"/>
      <c r="AD28" s="417"/>
      <c r="AE28" s="417"/>
      <c r="AF28" s="417"/>
      <c r="AG28" s="417"/>
      <c r="AH28" s="40"/>
      <c r="AI28" s="40"/>
      <c r="AJ28" s="40"/>
      <c r="AK28" s="40"/>
      <c r="AL28" s="40"/>
      <c r="AM28" s="40"/>
      <c r="AN28" s="40"/>
      <c r="AO28" s="40"/>
      <c r="AP28" s="40"/>
      <c r="AQ28" s="40"/>
      <c r="AR28" s="40"/>
      <c r="AS28" s="40"/>
      <c r="AT28" s="40"/>
    </row>
    <row r="29" spans="3:46" ht="15.75" customHeight="1">
      <c r="C29" s="431" t="s">
        <v>27</v>
      </c>
      <c r="D29" s="436" t="str">
        <f>MID(E26,69,3)</f>
        <v>NO</v>
      </c>
      <c r="E29" s="427" t="s">
        <v>641</v>
      </c>
      <c r="F29" s="416" t="s">
        <v>11</v>
      </c>
      <c r="G29" s="417"/>
      <c r="I29" s="417"/>
      <c r="J29" s="417"/>
      <c r="K29" s="417" t="s">
        <v>11</v>
      </c>
      <c r="L29" s="417"/>
      <c r="M29" s="417"/>
      <c r="N29" s="417"/>
      <c r="O29" s="417"/>
      <c r="P29" s="417"/>
      <c r="Q29" s="417"/>
      <c r="R29" s="417"/>
      <c r="S29" s="417"/>
      <c r="T29" s="417"/>
      <c r="U29" s="417"/>
      <c r="V29" s="417"/>
      <c r="W29" s="417"/>
      <c r="X29" s="417"/>
      <c r="Y29" s="417"/>
      <c r="Z29" s="417"/>
      <c r="AA29" s="417"/>
      <c r="AB29" s="417"/>
      <c r="AC29" s="417"/>
      <c r="AD29" s="417"/>
      <c r="AE29" s="417"/>
      <c r="AF29" s="417"/>
      <c r="AG29" s="417"/>
      <c r="AH29" s="40"/>
      <c r="AI29" s="40"/>
      <c r="AJ29" s="40"/>
      <c r="AK29" s="40"/>
      <c r="AL29" s="40"/>
      <c r="AM29" s="40"/>
      <c r="AN29" s="40"/>
      <c r="AO29" s="40"/>
      <c r="AP29" s="40"/>
      <c r="AQ29" s="40"/>
      <c r="AR29" s="40"/>
      <c r="AS29" s="40"/>
      <c r="AT29" s="40"/>
    </row>
    <row r="30" spans="3:46" ht="15.75" customHeight="1">
      <c r="C30" s="431" t="s">
        <v>28</v>
      </c>
      <c r="D30" s="436" t="str">
        <f>MID($E$17,28,20)</f>
        <v>NEUROLOGICAL SURGERY</v>
      </c>
      <c r="E30" s="427" t="s">
        <v>642</v>
      </c>
      <c r="F30" s="416" t="s">
        <v>11</v>
      </c>
      <c r="G30" s="417"/>
      <c r="I30" s="417"/>
      <c r="J30" s="417"/>
      <c r="K30" s="417" t="s">
        <v>11</v>
      </c>
      <c r="L30" s="417"/>
      <c r="M30" s="417"/>
      <c r="N30" s="417"/>
      <c r="O30" s="417"/>
      <c r="P30" s="417"/>
      <c r="Q30" s="417"/>
      <c r="R30" s="417"/>
      <c r="S30" s="417"/>
      <c r="T30" s="417"/>
      <c r="U30" s="417"/>
      <c r="V30" s="417"/>
      <c r="W30" s="417"/>
      <c r="X30" s="417"/>
      <c r="Y30" s="417"/>
      <c r="Z30" s="417"/>
      <c r="AA30" s="417"/>
      <c r="AB30" s="417"/>
      <c r="AC30" s="417"/>
      <c r="AD30" s="417"/>
      <c r="AE30" s="417"/>
      <c r="AF30" s="417"/>
      <c r="AG30" s="417"/>
      <c r="AH30" s="40"/>
      <c r="AI30" s="40"/>
      <c r="AJ30" s="40"/>
      <c r="AK30" s="40"/>
      <c r="AL30" s="40"/>
      <c r="AM30" s="40"/>
      <c r="AN30" s="40"/>
      <c r="AO30" s="40"/>
      <c r="AP30" s="40"/>
      <c r="AQ30" s="40"/>
      <c r="AR30" s="40"/>
      <c r="AS30" s="40"/>
      <c r="AT30" s="40"/>
    </row>
    <row r="31" spans="3:46" ht="15.75" customHeight="1">
      <c r="C31" s="431" t="s">
        <v>29</v>
      </c>
      <c r="D31" s="436" t="str">
        <f>MID(E17,65,7)</f>
        <v>359924</v>
      </c>
      <c r="E31" s="427" t="s">
        <v>643</v>
      </c>
      <c r="F31" s="416" t="s">
        <v>11</v>
      </c>
      <c r="G31" s="417"/>
      <c r="I31" s="417"/>
      <c r="J31" s="417"/>
      <c r="K31" s="417" t="s">
        <v>11</v>
      </c>
      <c r="L31" s="417"/>
      <c r="M31" s="417"/>
      <c r="N31" s="417"/>
      <c r="O31" s="417"/>
      <c r="P31" s="417"/>
      <c r="Q31" s="417"/>
      <c r="R31" s="417"/>
      <c r="S31" s="417"/>
      <c r="T31" s="417"/>
      <c r="U31" s="417"/>
      <c r="V31" s="417"/>
      <c r="W31" s="417"/>
      <c r="X31" s="417"/>
      <c r="Y31" s="417"/>
      <c r="Z31" s="417"/>
      <c r="AA31" s="417"/>
      <c r="AB31" s="417"/>
      <c r="AC31" s="417"/>
      <c r="AD31" s="417"/>
      <c r="AE31" s="417"/>
      <c r="AF31" s="417"/>
      <c r="AG31" s="417"/>
      <c r="AH31" s="40"/>
      <c r="AI31" s="40"/>
      <c r="AJ31" s="40"/>
      <c r="AK31" s="40"/>
      <c r="AL31" s="40"/>
      <c r="AM31" s="40"/>
      <c r="AN31" s="40"/>
      <c r="AO31" s="40"/>
      <c r="AP31" s="40"/>
      <c r="AQ31" s="40"/>
      <c r="AR31" s="40"/>
      <c r="AS31" s="40"/>
      <c r="AT31" s="40"/>
    </row>
    <row r="32" spans="3:46" ht="15.75" customHeight="1">
      <c r="C32" s="431" t="s">
        <v>30</v>
      </c>
      <c r="D32" s="436" t="str">
        <f>MID(E18,28,22)</f>
        <v>ELLENBOGEN, RICHARD G.</v>
      </c>
      <c r="E32" s="427" t="s">
        <v>729</v>
      </c>
      <c r="F32" s="416" t="s">
        <v>11</v>
      </c>
      <c r="G32" s="417"/>
      <c r="I32" s="417"/>
      <c r="J32" s="417"/>
      <c r="K32" s="417" t="s">
        <v>11</v>
      </c>
      <c r="P32" s="417"/>
      <c r="Q32" s="417"/>
      <c r="R32" s="417"/>
      <c r="S32" s="417"/>
      <c r="T32" s="417"/>
      <c r="U32" s="417"/>
      <c r="V32" s="417"/>
      <c r="W32" s="417"/>
      <c r="X32" s="417"/>
      <c r="Y32" s="417"/>
      <c r="Z32" s="417"/>
      <c r="AA32" s="417"/>
      <c r="AB32" s="417"/>
      <c r="AC32" s="417"/>
      <c r="AD32" s="417"/>
      <c r="AE32" s="417"/>
      <c r="AF32" s="417"/>
      <c r="AG32" s="417"/>
      <c r="AH32" s="40"/>
      <c r="AI32" s="40"/>
      <c r="AJ32" s="40"/>
      <c r="AK32" s="40"/>
      <c r="AL32" s="40"/>
      <c r="AM32" s="40"/>
      <c r="AN32" s="40"/>
      <c r="AO32" s="40"/>
      <c r="AP32" s="40"/>
      <c r="AQ32" s="40"/>
      <c r="AR32" s="40"/>
      <c r="AS32" s="40"/>
      <c r="AT32" s="40"/>
    </row>
    <row r="33" spans="2:46" ht="15.75" customHeight="1">
      <c r="C33" s="431" t="s">
        <v>31</v>
      </c>
      <c r="D33" s="436" t="str">
        <f>MID(E29,23,2)</f>
        <v>01</v>
      </c>
      <c r="E33" s="427" t="s">
        <v>32</v>
      </c>
      <c r="F33" s="416" t="s">
        <v>11</v>
      </c>
      <c r="G33" s="417"/>
      <c r="I33" s="417"/>
      <c r="J33" s="417"/>
      <c r="K33" s="417" t="s">
        <v>11</v>
      </c>
      <c r="L33" s="417"/>
      <c r="M33" s="417"/>
      <c r="N33" s="417"/>
      <c r="O33" s="417"/>
      <c r="P33" s="417"/>
      <c r="Q33" s="417"/>
      <c r="R33" s="417"/>
      <c r="S33" s="417"/>
      <c r="T33" s="417"/>
      <c r="U33" s="417"/>
      <c r="V33" s="417"/>
      <c r="W33" s="417"/>
      <c r="X33" s="417"/>
      <c r="Y33" s="417"/>
      <c r="Z33" s="417"/>
      <c r="AA33" s="417"/>
      <c r="AB33" s="417"/>
      <c r="AC33" s="417"/>
      <c r="AD33" s="417"/>
      <c r="AE33" s="417"/>
      <c r="AF33" s="417"/>
      <c r="AG33" s="417"/>
      <c r="AH33" s="40"/>
      <c r="AI33" s="40"/>
      <c r="AJ33" s="40"/>
      <c r="AK33" s="40"/>
      <c r="AL33" s="40"/>
      <c r="AM33" s="40"/>
      <c r="AN33" s="40"/>
      <c r="AO33" s="40"/>
      <c r="AP33" s="40"/>
      <c r="AQ33" s="40"/>
      <c r="AR33" s="40"/>
      <c r="AS33" s="40"/>
      <c r="AT33" s="40"/>
    </row>
    <row r="34" spans="2:46" ht="15.75" customHeight="1">
      <c r="C34" s="431" t="s">
        <v>33</v>
      </c>
      <c r="D34" s="436">
        <f>MID(E22,74,2)+1</f>
        <v>2</v>
      </c>
      <c r="E34" s="427" t="s">
        <v>34</v>
      </c>
      <c r="F34" s="416" t="s">
        <v>11</v>
      </c>
      <c r="G34" s="417"/>
      <c r="I34" s="417"/>
      <c r="J34" s="417"/>
      <c r="K34" s="417" t="s">
        <v>11</v>
      </c>
      <c r="L34" s="417"/>
      <c r="M34" s="417"/>
      <c r="N34" s="417"/>
      <c r="O34" s="417"/>
      <c r="P34" s="417"/>
      <c r="Q34" s="417"/>
      <c r="R34" s="417"/>
      <c r="S34" s="417"/>
      <c r="T34" s="417"/>
      <c r="U34" s="417"/>
      <c r="V34" s="417"/>
      <c r="W34" s="417"/>
      <c r="X34" s="417"/>
      <c r="Y34" s="417"/>
      <c r="Z34" s="417"/>
      <c r="AA34" s="417"/>
      <c r="AB34" s="417"/>
      <c r="AC34" s="417"/>
      <c r="AD34" s="417"/>
      <c r="AE34" s="417"/>
      <c r="AF34" s="417"/>
      <c r="AG34" s="417"/>
      <c r="AH34" s="40"/>
      <c r="AI34" s="40"/>
      <c r="AJ34" s="40"/>
      <c r="AK34" s="40"/>
      <c r="AL34" s="40"/>
      <c r="AM34" s="40"/>
      <c r="AN34" s="40"/>
      <c r="AO34" s="40"/>
      <c r="AP34" s="40"/>
      <c r="AQ34" s="40"/>
      <c r="AR34" s="40"/>
      <c r="AS34" s="40"/>
      <c r="AT34" s="40"/>
    </row>
    <row r="35" spans="2:46" ht="16.5" customHeight="1" thickBot="1">
      <c r="C35" s="438" t="s">
        <v>35</v>
      </c>
      <c r="D35" s="439" t="str">
        <f>MID(E32,59,2)</f>
        <v>01</v>
      </c>
      <c r="E35" s="427" t="s">
        <v>469</v>
      </c>
      <c r="F35" s="416" t="s">
        <v>11</v>
      </c>
      <c r="G35" s="417"/>
      <c r="I35" s="417"/>
      <c r="J35" s="417"/>
      <c r="K35" s="417" t="s">
        <v>11</v>
      </c>
      <c r="L35" s="417"/>
      <c r="M35" s="417"/>
      <c r="N35" s="417"/>
      <c r="O35" s="417"/>
      <c r="P35" s="417"/>
      <c r="Q35" s="417"/>
      <c r="R35" s="417"/>
      <c r="S35" s="417"/>
      <c r="T35" s="417"/>
      <c r="U35" s="417"/>
      <c r="V35" s="417"/>
      <c r="W35" s="417"/>
      <c r="X35" s="417"/>
      <c r="Y35" s="417"/>
      <c r="Z35" s="417"/>
      <c r="AA35" s="417"/>
      <c r="AB35" s="417"/>
      <c r="AC35" s="417"/>
      <c r="AD35" s="417"/>
      <c r="AE35" s="417"/>
      <c r="AF35" s="417"/>
      <c r="AG35" s="417"/>
      <c r="AH35" s="40"/>
      <c r="AI35" s="40"/>
      <c r="AJ35" s="40"/>
      <c r="AK35" s="40"/>
      <c r="AL35" s="40"/>
      <c r="AM35" s="40"/>
      <c r="AN35" s="40"/>
      <c r="AO35" s="40"/>
      <c r="AP35" s="40"/>
      <c r="AQ35" s="40"/>
      <c r="AR35" s="40"/>
      <c r="AS35" s="40"/>
      <c r="AT35" s="40"/>
    </row>
    <row r="36" spans="2:46" ht="15.75" customHeight="1">
      <c r="C36" s="440" t="s">
        <v>570</v>
      </c>
      <c r="D36" s="441" t="str">
        <f>MID(E27,69,2)</f>
        <v>01</v>
      </c>
      <c r="E36" s="427" t="s">
        <v>730</v>
      </c>
      <c r="G36" s="417"/>
      <c r="I36" s="417"/>
      <c r="J36" s="417"/>
      <c r="K36" s="417"/>
      <c r="L36" s="417"/>
      <c r="M36" s="417"/>
      <c r="N36" s="417"/>
      <c r="O36" s="417"/>
      <c r="P36" s="417"/>
      <c r="Q36" s="417"/>
      <c r="R36" s="417"/>
      <c r="S36" s="417"/>
      <c r="T36" s="417"/>
      <c r="U36" s="417"/>
      <c r="V36" s="417"/>
      <c r="W36" s="417"/>
      <c r="X36" s="417"/>
      <c r="Y36" s="417"/>
      <c r="Z36" s="417"/>
      <c r="AA36" s="417"/>
      <c r="AB36" s="417"/>
      <c r="AC36" s="417"/>
      <c r="AD36" s="417"/>
      <c r="AE36" s="417"/>
      <c r="AF36" s="417"/>
      <c r="AG36" s="417"/>
      <c r="AH36" s="40"/>
      <c r="AI36" s="40"/>
      <c r="AJ36" s="40"/>
      <c r="AK36" s="40"/>
      <c r="AL36" s="40"/>
      <c r="AM36" s="40"/>
      <c r="AN36" s="40"/>
      <c r="AO36" s="40"/>
      <c r="AP36" s="40"/>
      <c r="AQ36" s="40"/>
      <c r="AR36" s="40"/>
      <c r="AS36" s="40"/>
      <c r="AT36" s="40"/>
    </row>
    <row r="37" spans="2:46" ht="15.6">
      <c r="C37" s="440"/>
      <c r="D37" s="441"/>
      <c r="E37" s="427"/>
      <c r="G37" s="417"/>
      <c r="I37" s="417"/>
      <c r="J37" s="417"/>
      <c r="K37" s="417"/>
      <c r="L37" s="417"/>
      <c r="M37" s="417"/>
      <c r="N37" s="417"/>
      <c r="O37" s="417"/>
      <c r="P37" s="417"/>
      <c r="Q37" s="417"/>
      <c r="R37" s="417"/>
      <c r="S37" s="417"/>
      <c r="T37" s="417"/>
      <c r="U37" s="417"/>
      <c r="V37" s="417"/>
      <c r="W37" s="417"/>
      <c r="X37" s="417"/>
      <c r="Y37" s="417"/>
      <c r="Z37" s="417"/>
      <c r="AA37" s="417"/>
      <c r="AB37" s="417"/>
      <c r="AC37" s="417"/>
      <c r="AD37" s="417"/>
      <c r="AE37" s="417"/>
      <c r="AF37" s="417"/>
      <c r="AG37" s="417"/>
      <c r="AH37" s="40"/>
      <c r="AI37" s="40"/>
      <c r="AJ37" s="40"/>
      <c r="AK37" s="40"/>
      <c r="AL37" s="40"/>
      <c r="AM37" s="40"/>
      <c r="AN37" s="40"/>
      <c r="AO37" s="40"/>
      <c r="AP37" s="40"/>
      <c r="AQ37" s="40"/>
      <c r="AR37" s="40"/>
      <c r="AS37" s="40"/>
      <c r="AT37" s="40"/>
    </row>
    <row r="38" spans="2:46" ht="13.5" customHeight="1">
      <c r="C38" s="440"/>
      <c r="D38" s="441"/>
      <c r="E38" s="427"/>
      <c r="G38" s="417"/>
      <c r="I38" s="417"/>
      <c r="J38" s="417"/>
      <c r="K38" s="417"/>
      <c r="L38" s="417"/>
      <c r="M38" s="417"/>
      <c r="N38" s="417"/>
      <c r="O38" s="417"/>
      <c r="P38" s="417"/>
      <c r="Q38" s="417"/>
      <c r="R38" s="417"/>
      <c r="S38" s="417"/>
      <c r="T38" s="417"/>
      <c r="U38" s="417"/>
      <c r="V38" s="417"/>
      <c r="W38" s="417"/>
      <c r="X38" s="417"/>
      <c r="Y38" s="417"/>
      <c r="Z38" s="417"/>
      <c r="AA38" s="417"/>
      <c r="AB38" s="417"/>
      <c r="AC38" s="417"/>
      <c r="AD38" s="417"/>
      <c r="AE38" s="417"/>
      <c r="AF38" s="417"/>
      <c r="AG38" s="417"/>
      <c r="AH38" s="40"/>
      <c r="AI38" s="40"/>
      <c r="AJ38" s="40"/>
      <c r="AK38" s="40"/>
      <c r="AL38" s="40"/>
      <c r="AM38" s="40"/>
      <c r="AN38" s="40"/>
      <c r="AO38" s="40"/>
      <c r="AP38" s="40"/>
      <c r="AQ38" s="40"/>
      <c r="AR38" s="40"/>
      <c r="AS38" s="40"/>
      <c r="AT38" s="40"/>
    </row>
    <row r="39" spans="2:46" ht="15.6">
      <c r="B39" s="417"/>
      <c r="C39" s="1308" t="s">
        <v>569</v>
      </c>
      <c r="D39" s="1309"/>
      <c r="E39" s="1310"/>
      <c r="F39" s="417"/>
      <c r="G39" s="417"/>
      <c r="H39" s="417"/>
      <c r="P39" s="417"/>
      <c r="Q39" s="417"/>
      <c r="R39" s="417"/>
      <c r="S39" s="417"/>
      <c r="T39" s="417"/>
      <c r="U39" s="417"/>
      <c r="V39" s="417"/>
      <c r="W39" s="417"/>
      <c r="X39" s="417"/>
      <c r="Y39" s="417"/>
      <c r="Z39" s="417"/>
      <c r="AA39" s="417"/>
      <c r="AB39" s="417"/>
      <c r="AC39" s="417"/>
      <c r="AD39" s="417"/>
      <c r="AE39" s="417"/>
      <c r="AF39" s="417"/>
      <c r="AG39" s="417"/>
      <c r="AH39" s="40"/>
      <c r="AI39" s="40"/>
      <c r="AJ39" s="40"/>
      <c r="AK39" s="40"/>
      <c r="AL39" s="40"/>
      <c r="AM39" s="40"/>
      <c r="AN39" s="40"/>
      <c r="AO39" s="40"/>
      <c r="AP39" s="40"/>
      <c r="AQ39" s="40"/>
      <c r="AR39" s="40"/>
      <c r="AS39" s="40"/>
      <c r="AT39" s="40"/>
    </row>
    <row r="40" spans="2:46" ht="16.5" hidden="1" customHeight="1">
      <c r="B40" s="417"/>
      <c r="C40" s="862">
        <f>FIND(",",D32)</f>
        <v>11</v>
      </c>
      <c r="D40" s="812" t="s">
        <v>375</v>
      </c>
      <c r="E40" s="872" t="str">
        <f>MID(D32,(C40+1),10)&amp;" "&amp;MID(D32,1,(C40-1))</f>
        <v xml:space="preserve"> RICHARD G ELLENBOGEN</v>
      </c>
      <c r="F40" s="417" t="s">
        <v>11</v>
      </c>
      <c r="G40" s="417"/>
      <c r="H40" s="417"/>
      <c r="I40" s="554"/>
      <c r="P40" s="417"/>
      <c r="Q40" s="417"/>
      <c r="R40" s="417"/>
      <c r="S40" s="417"/>
      <c r="T40" s="417"/>
      <c r="U40" s="417"/>
      <c r="V40" s="417"/>
      <c r="W40" s="417"/>
      <c r="X40" s="417"/>
      <c r="Y40" s="417"/>
      <c r="Z40" s="417"/>
      <c r="AA40" s="417"/>
      <c r="AB40" s="417"/>
      <c r="AC40" s="417"/>
      <c r="AD40" s="417"/>
      <c r="AE40" s="417"/>
      <c r="AF40" s="417"/>
      <c r="AG40" s="417"/>
      <c r="AH40" s="40"/>
      <c r="AI40" s="40"/>
      <c r="AJ40" s="40"/>
      <c r="AK40" s="40"/>
      <c r="AL40" s="40"/>
      <c r="AM40" s="40"/>
      <c r="AN40" s="40"/>
      <c r="AO40" s="40"/>
      <c r="AP40" s="40"/>
      <c r="AQ40" s="40"/>
      <c r="AR40" s="40"/>
      <c r="AS40" s="40"/>
      <c r="AT40" s="40"/>
    </row>
    <row r="41" spans="2:46" ht="16.5" customHeight="1">
      <c r="B41" s="417"/>
      <c r="C41" s="811"/>
      <c r="D41" s="813" t="s">
        <v>526</v>
      </c>
      <c r="E41" s="820"/>
      <c r="F41" s="417"/>
      <c r="G41" s="417"/>
      <c r="H41" s="417"/>
      <c r="P41" s="417"/>
      <c r="Q41" s="417"/>
      <c r="R41" s="417"/>
      <c r="S41" s="417"/>
      <c r="T41" s="417"/>
      <c r="U41" s="417"/>
      <c r="V41" s="417"/>
      <c r="W41" s="417"/>
      <c r="X41" s="417"/>
      <c r="Y41" s="417"/>
      <c r="Z41" s="417"/>
      <c r="AA41" s="417"/>
      <c r="AB41" s="417"/>
      <c r="AC41" s="417"/>
      <c r="AD41" s="417"/>
      <c r="AE41" s="417"/>
      <c r="AF41" s="417"/>
      <c r="AG41" s="417"/>
      <c r="AH41" s="40"/>
      <c r="AI41" s="40"/>
      <c r="AJ41" s="40"/>
      <c r="AK41" s="40"/>
      <c r="AL41" s="40"/>
      <c r="AM41" s="40"/>
      <c r="AN41" s="40"/>
      <c r="AO41" s="40"/>
      <c r="AP41" s="40"/>
      <c r="AQ41" s="40"/>
      <c r="AR41" s="40"/>
      <c r="AS41" s="40"/>
      <c r="AT41" s="40"/>
    </row>
    <row r="42" spans="2:46" ht="16.5" customHeight="1">
      <c r="B42" s="417"/>
      <c r="C42" s="810"/>
      <c r="D42" s="813" t="s">
        <v>156</v>
      </c>
      <c r="E42" s="817"/>
      <c r="F42" s="417"/>
      <c r="G42" s="417"/>
      <c r="H42" s="417"/>
      <c r="P42" s="417"/>
      <c r="Q42" s="417"/>
      <c r="R42" s="417"/>
      <c r="S42" s="417"/>
      <c r="T42" s="417"/>
      <c r="U42" s="417"/>
      <c r="V42" s="417"/>
      <c r="W42" s="417"/>
      <c r="X42" s="417"/>
      <c r="Y42" s="417"/>
      <c r="Z42" s="417"/>
      <c r="AA42" s="417"/>
      <c r="AB42" s="417"/>
      <c r="AC42" s="417"/>
      <c r="AD42" s="417"/>
      <c r="AE42" s="417"/>
      <c r="AF42" s="417"/>
      <c r="AG42" s="417"/>
      <c r="AH42" s="40"/>
      <c r="AI42" s="40"/>
      <c r="AJ42" s="40"/>
      <c r="AK42" s="40"/>
      <c r="AL42" s="40"/>
      <c r="AM42" s="40"/>
      <c r="AN42" s="40"/>
      <c r="AO42" s="40"/>
      <c r="AP42" s="40"/>
      <c r="AQ42" s="40"/>
      <c r="AR42" s="40"/>
      <c r="AS42" s="40"/>
      <c r="AT42" s="40"/>
    </row>
    <row r="43" spans="2:46" ht="16.5" customHeight="1">
      <c r="B43" s="417"/>
      <c r="C43" s="810"/>
      <c r="D43" s="813" t="s">
        <v>376</v>
      </c>
      <c r="E43" s="818"/>
      <c r="F43" s="417"/>
      <c r="G43" s="417"/>
      <c r="H43" s="417"/>
      <c r="P43" s="417"/>
      <c r="Q43" s="417"/>
      <c r="R43" s="417"/>
      <c r="S43" s="417"/>
      <c r="T43" s="417"/>
      <c r="U43" s="417"/>
      <c r="V43" s="417"/>
      <c r="W43" s="417"/>
      <c r="X43" s="417"/>
      <c r="Y43" s="417"/>
      <c r="Z43" s="417"/>
      <c r="AA43" s="417"/>
      <c r="AB43" s="417"/>
      <c r="AC43" s="417"/>
      <c r="AD43" s="417"/>
      <c r="AE43" s="417"/>
      <c r="AF43" s="417"/>
      <c r="AG43" s="417"/>
      <c r="AH43" s="40"/>
      <c r="AI43" s="40"/>
      <c r="AJ43" s="40"/>
      <c r="AK43" s="40"/>
      <c r="AL43" s="40"/>
      <c r="AM43" s="40"/>
      <c r="AN43" s="40"/>
      <c r="AO43" s="40"/>
      <c r="AP43" s="40"/>
      <c r="AQ43" s="40"/>
      <c r="AR43" s="40"/>
      <c r="AS43" s="40"/>
      <c r="AT43" s="40"/>
    </row>
    <row r="44" spans="2:46" ht="16.5" customHeight="1">
      <c r="B44" s="417"/>
      <c r="C44" s="810"/>
      <c r="D44" s="814" t="s">
        <v>377</v>
      </c>
      <c r="E44" s="819"/>
      <c r="F44" s="417"/>
      <c r="G44" s="417"/>
      <c r="H44" s="417"/>
      <c r="P44" s="417"/>
      <c r="Q44" s="417"/>
      <c r="R44" s="417"/>
      <c r="S44" s="417"/>
      <c r="T44" s="417"/>
      <c r="U44" s="417"/>
      <c r="V44" s="417"/>
      <c r="W44" s="417"/>
      <c r="X44" s="417"/>
      <c r="Y44" s="417"/>
      <c r="Z44" s="417"/>
      <c r="AA44" s="417"/>
      <c r="AB44" s="417"/>
      <c r="AC44" s="417"/>
      <c r="AD44" s="417"/>
      <c r="AE44" s="417"/>
      <c r="AF44" s="417"/>
      <c r="AG44" s="417"/>
      <c r="AH44" s="40"/>
      <c r="AI44" s="40"/>
      <c r="AJ44" s="40"/>
      <c r="AK44" s="40"/>
      <c r="AL44" s="40"/>
      <c r="AM44" s="40"/>
      <c r="AN44" s="40"/>
      <c r="AO44" s="40"/>
      <c r="AP44" s="40"/>
      <c r="AQ44" s="40"/>
      <c r="AR44" s="40"/>
      <c r="AS44" s="40"/>
      <c r="AT44" s="40"/>
    </row>
    <row r="45" spans="2:46" ht="16.5" customHeight="1">
      <c r="B45" s="417"/>
      <c r="C45" s="810"/>
      <c r="D45" s="813" t="s">
        <v>377</v>
      </c>
      <c r="E45" s="818"/>
      <c r="F45" s="417"/>
      <c r="G45" s="417"/>
      <c r="H45" s="417"/>
      <c r="P45" s="417"/>
      <c r="Q45" s="417"/>
      <c r="R45" s="417"/>
      <c r="S45" s="417"/>
      <c r="T45" s="417"/>
      <c r="U45" s="417"/>
      <c r="V45" s="417"/>
      <c r="W45" s="417"/>
      <c r="X45" s="417"/>
      <c r="Y45" s="417"/>
      <c r="Z45" s="417"/>
      <c r="AA45" s="417"/>
      <c r="AB45" s="417"/>
      <c r="AC45" s="417"/>
      <c r="AD45" s="417"/>
      <c r="AE45" s="417"/>
      <c r="AF45" s="417"/>
      <c r="AG45" s="417"/>
      <c r="AH45" s="40"/>
      <c r="AI45" s="40"/>
      <c r="AJ45" s="40"/>
      <c r="AK45" s="40"/>
      <c r="AL45" s="40"/>
      <c r="AM45" s="40"/>
      <c r="AN45" s="40"/>
      <c r="AO45" s="40"/>
      <c r="AP45" s="40"/>
      <c r="AQ45" s="40"/>
      <c r="AR45" s="40"/>
      <c r="AS45" s="40"/>
      <c r="AT45" s="40"/>
    </row>
    <row r="46" spans="2:46" ht="16.5" customHeight="1">
      <c r="B46" s="417"/>
      <c r="C46" s="815"/>
      <c r="D46" s="816" t="s">
        <v>378</v>
      </c>
      <c r="E46" s="818"/>
      <c r="F46" s="417"/>
      <c r="G46" s="417"/>
      <c r="H46" s="417"/>
      <c r="P46" s="417"/>
      <c r="Q46" s="417"/>
      <c r="R46" s="417"/>
      <c r="S46" s="417"/>
      <c r="T46" s="417"/>
      <c r="U46" s="417"/>
      <c r="V46" s="417"/>
      <c r="W46" s="417"/>
      <c r="X46" s="417"/>
      <c r="Y46" s="417"/>
      <c r="Z46" s="417"/>
      <c r="AA46" s="417"/>
      <c r="AB46" s="417"/>
      <c r="AC46" s="417"/>
      <c r="AD46" s="417"/>
      <c r="AE46" s="417"/>
      <c r="AF46" s="417"/>
      <c r="AG46" s="417"/>
      <c r="AH46" s="40"/>
      <c r="AI46" s="40"/>
      <c r="AJ46" s="40"/>
      <c r="AK46" s="40"/>
      <c r="AL46" s="40"/>
      <c r="AM46" s="40"/>
      <c r="AN46" s="40"/>
      <c r="AO46" s="40"/>
      <c r="AP46" s="40"/>
      <c r="AQ46" s="40"/>
      <c r="AR46" s="40"/>
      <c r="AS46" s="40"/>
      <c r="AT46" s="40"/>
    </row>
    <row r="47" spans="2:46">
      <c r="B47" s="98" t="s">
        <v>11</v>
      </c>
      <c r="C47" s="1116"/>
      <c r="D47" s="800"/>
      <c r="E47" s="1115"/>
      <c r="G47" s="622"/>
      <c r="P47" s="417"/>
      <c r="Q47" s="417"/>
      <c r="R47" s="417"/>
      <c r="S47" s="417"/>
      <c r="T47" s="417"/>
      <c r="U47" s="417"/>
      <c r="V47" s="417"/>
      <c r="W47" s="417"/>
      <c r="X47" s="417"/>
      <c r="Y47" s="417"/>
      <c r="Z47" s="417"/>
      <c r="AA47" s="417"/>
      <c r="AB47" s="417"/>
      <c r="AC47" s="417"/>
      <c r="AD47" s="417"/>
      <c r="AE47" s="417"/>
      <c r="AF47" s="417"/>
      <c r="AG47" s="417"/>
      <c r="AH47" s="40"/>
      <c r="AI47" s="40"/>
      <c r="AJ47" s="40"/>
      <c r="AK47" s="40"/>
      <c r="AL47" s="40"/>
      <c r="AM47" s="40"/>
      <c r="AN47" s="40"/>
      <c r="AO47" s="40"/>
      <c r="AP47" s="40"/>
      <c r="AQ47" s="40"/>
      <c r="AR47" s="40"/>
      <c r="AS47" s="40"/>
      <c r="AT47" s="40"/>
    </row>
    <row r="48" spans="2:46">
      <c r="C48" s="801"/>
      <c r="D48" s="616" t="s">
        <v>392</v>
      </c>
      <c r="E48" s="797" t="s">
        <v>636</v>
      </c>
      <c r="G48" s="622" t="s">
        <v>572</v>
      </c>
      <c r="P48" s="417"/>
      <c r="Q48" s="417"/>
      <c r="R48" s="417"/>
      <c r="S48" s="417"/>
      <c r="T48" s="417"/>
      <c r="U48" s="417"/>
      <c r="V48" s="417"/>
      <c r="W48" s="417"/>
      <c r="X48" s="417"/>
      <c r="Y48" s="417"/>
      <c r="Z48" s="417"/>
      <c r="AA48" s="417"/>
      <c r="AB48" s="417"/>
      <c r="AC48" s="417"/>
      <c r="AD48" s="417"/>
      <c r="AE48" s="417"/>
      <c r="AF48" s="417"/>
      <c r="AG48" s="417"/>
      <c r="AH48" s="40"/>
      <c r="AI48" s="40"/>
      <c r="AJ48" s="40"/>
      <c r="AK48" s="40"/>
      <c r="AL48" s="40"/>
      <c r="AM48" s="40"/>
      <c r="AN48" s="40"/>
      <c r="AO48" s="40"/>
      <c r="AP48" s="40"/>
      <c r="AQ48" s="40"/>
      <c r="AR48" s="40"/>
      <c r="AS48" s="40"/>
      <c r="AT48" s="40"/>
    </row>
    <row r="49" spans="2:46" hidden="1">
      <c r="C49" s="802"/>
      <c r="D49" s="616" t="s">
        <v>89</v>
      </c>
      <c r="E49" s="796"/>
      <c r="F49" s="622"/>
      <c r="P49" s="417"/>
      <c r="Q49" s="417"/>
      <c r="R49" s="417"/>
      <c r="S49" s="417"/>
      <c r="T49" s="417"/>
      <c r="U49" s="417"/>
      <c r="V49" s="417"/>
      <c r="W49" s="417"/>
      <c r="X49" s="417"/>
      <c r="Y49" s="417"/>
      <c r="Z49" s="417"/>
      <c r="AA49" s="417"/>
      <c r="AB49" s="417"/>
      <c r="AC49" s="417"/>
      <c r="AD49" s="417"/>
      <c r="AE49" s="417"/>
      <c r="AF49" s="417"/>
      <c r="AG49" s="417"/>
      <c r="AH49" s="40"/>
      <c r="AI49" s="40"/>
      <c r="AJ49" s="40"/>
      <c r="AK49" s="40"/>
      <c r="AL49" s="40"/>
      <c r="AM49" s="40"/>
      <c r="AN49" s="40"/>
      <c r="AO49" s="40"/>
      <c r="AP49" s="40"/>
      <c r="AQ49" s="40"/>
      <c r="AR49" s="40"/>
      <c r="AS49" s="40"/>
      <c r="AT49" s="40"/>
    </row>
    <row r="50" spans="2:46">
      <c r="C50" s="803"/>
      <c r="D50" s="617" t="s">
        <v>90</v>
      </c>
      <c r="E50" s="798"/>
      <c r="G50" s="622" t="s">
        <v>571</v>
      </c>
      <c r="P50" s="417"/>
      <c r="Q50" s="417"/>
      <c r="R50" s="417"/>
      <c r="S50" s="417"/>
      <c r="T50" s="417"/>
      <c r="U50" s="417"/>
      <c r="V50" s="417"/>
      <c r="W50" s="417"/>
      <c r="X50" s="417"/>
      <c r="Y50" s="417"/>
      <c r="Z50" s="417"/>
      <c r="AA50" s="417"/>
      <c r="AB50" s="417"/>
      <c r="AC50" s="417"/>
      <c r="AD50" s="417"/>
      <c r="AE50" s="417"/>
      <c r="AF50" s="417"/>
      <c r="AG50" s="417"/>
      <c r="AH50" s="40"/>
      <c r="AI50" s="40"/>
      <c r="AJ50" s="40"/>
      <c r="AK50" s="40"/>
      <c r="AL50" s="40"/>
      <c r="AM50" s="40"/>
      <c r="AN50" s="40"/>
      <c r="AO50" s="40"/>
      <c r="AP50" s="40"/>
      <c r="AQ50" s="40"/>
      <c r="AR50" s="40"/>
      <c r="AS50" s="40"/>
      <c r="AT50" s="40"/>
    </row>
    <row r="51" spans="2:46">
      <c r="C51" s="804"/>
      <c r="D51" s="105" t="s">
        <v>91</v>
      </c>
      <c r="E51" s="805"/>
      <c r="G51" s="622" t="s">
        <v>539</v>
      </c>
      <c r="P51" s="417"/>
      <c r="Q51" s="417"/>
      <c r="R51" s="417"/>
      <c r="S51" s="417"/>
      <c r="T51" s="417"/>
      <c r="U51" s="417"/>
      <c r="V51" s="417"/>
      <c r="W51" s="417"/>
      <c r="X51" s="417"/>
      <c r="Y51" s="417"/>
      <c r="Z51" s="417"/>
      <c r="AA51" s="417"/>
      <c r="AB51" s="417"/>
      <c r="AC51" s="417"/>
      <c r="AD51" s="417"/>
      <c r="AE51" s="417"/>
      <c r="AF51" s="417"/>
      <c r="AG51" s="417"/>
      <c r="AH51" s="40"/>
      <c r="AI51" s="40"/>
      <c r="AJ51" s="40"/>
      <c r="AK51" s="40"/>
      <c r="AL51" s="40"/>
      <c r="AM51" s="40"/>
      <c r="AN51" s="40"/>
      <c r="AO51" s="40"/>
      <c r="AP51" s="40"/>
      <c r="AQ51" s="40"/>
      <c r="AR51" s="40"/>
      <c r="AS51" s="40"/>
      <c r="AT51" s="40"/>
    </row>
    <row r="52" spans="2:46">
      <c r="C52" s="806"/>
      <c r="D52" s="618" t="s">
        <v>399</v>
      </c>
      <c r="E52" s="1150">
        <v>0</v>
      </c>
      <c r="P52" s="417"/>
      <c r="Q52" s="417"/>
      <c r="R52" s="417"/>
      <c r="S52" s="417"/>
      <c r="T52" s="417"/>
      <c r="U52" s="417"/>
      <c r="V52" s="417"/>
      <c r="W52" s="417"/>
      <c r="X52" s="417"/>
      <c r="Y52" s="417"/>
      <c r="Z52" s="417"/>
      <c r="AA52" s="417"/>
      <c r="AB52" s="417"/>
      <c r="AC52" s="417"/>
      <c r="AD52" s="417"/>
      <c r="AE52" s="417"/>
      <c r="AF52" s="417"/>
      <c r="AG52" s="417"/>
      <c r="AH52" s="40"/>
      <c r="AI52" s="40"/>
      <c r="AJ52" s="40"/>
      <c r="AK52" s="40"/>
      <c r="AL52" s="40"/>
      <c r="AM52" s="40"/>
      <c r="AN52" s="40"/>
      <c r="AO52" s="40"/>
      <c r="AP52" s="40"/>
      <c r="AQ52" s="40"/>
      <c r="AR52" s="40"/>
      <c r="AS52" s="40"/>
      <c r="AT52" s="40"/>
    </row>
    <row r="53" spans="2:46">
      <c r="C53" s="806"/>
      <c r="D53" s="618" t="s">
        <v>401</v>
      </c>
      <c r="E53" s="807" t="s">
        <v>645</v>
      </c>
      <c r="P53" s="417"/>
      <c r="Q53" s="417"/>
      <c r="R53" s="417"/>
      <c r="S53" s="417"/>
      <c r="T53" s="417"/>
      <c r="U53" s="417"/>
      <c r="V53" s="417"/>
      <c r="W53" s="417"/>
      <c r="X53" s="417"/>
      <c r="Y53" s="417"/>
      <c r="Z53" s="417"/>
      <c r="AA53" s="417"/>
      <c r="AB53" s="417"/>
      <c r="AC53" s="417"/>
      <c r="AD53" s="417"/>
      <c r="AE53" s="417"/>
      <c r="AF53" s="417"/>
      <c r="AG53" s="417"/>
      <c r="AH53" s="40"/>
      <c r="AI53" s="40"/>
      <c r="AJ53" s="40"/>
      <c r="AK53" s="40"/>
      <c r="AL53" s="40"/>
      <c r="AM53" s="40"/>
      <c r="AN53" s="40"/>
      <c r="AO53" s="40"/>
      <c r="AP53" s="40"/>
      <c r="AQ53" s="40"/>
      <c r="AR53" s="40"/>
      <c r="AS53" s="40"/>
      <c r="AT53" s="40"/>
    </row>
    <row r="54" spans="2:46">
      <c r="C54" s="806"/>
      <c r="D54" s="618" t="s">
        <v>400</v>
      </c>
      <c r="E54" s="808" t="s">
        <v>411</v>
      </c>
      <c r="P54" s="417"/>
      <c r="Q54" s="417"/>
      <c r="R54" s="417"/>
      <c r="S54" s="417"/>
      <c r="T54" s="417"/>
      <c r="U54" s="417"/>
      <c r="V54" s="417"/>
      <c r="W54" s="417"/>
      <c r="X54" s="417"/>
      <c r="Y54" s="417"/>
      <c r="Z54" s="417"/>
      <c r="AA54" s="417"/>
      <c r="AB54" s="417"/>
      <c r="AC54" s="417"/>
      <c r="AD54" s="417"/>
      <c r="AE54" s="417"/>
      <c r="AF54" s="417"/>
      <c r="AG54" s="417"/>
      <c r="AH54" s="40"/>
      <c r="AI54" s="40"/>
      <c r="AJ54" s="40"/>
      <c r="AK54" s="40"/>
      <c r="AL54" s="40"/>
      <c r="AM54" s="40"/>
      <c r="AN54" s="40"/>
      <c r="AO54" s="40"/>
      <c r="AP54" s="40"/>
      <c r="AQ54" s="40"/>
      <c r="AR54" s="40"/>
      <c r="AS54" s="40"/>
      <c r="AT54" s="40"/>
    </row>
    <row r="55" spans="2:46" ht="15.6">
      <c r="C55" s="806"/>
      <c r="D55" s="809"/>
      <c r="E55" s="785"/>
      <c r="P55" s="417"/>
      <c r="Q55" s="417"/>
      <c r="R55" s="417"/>
      <c r="S55" s="417"/>
      <c r="T55" s="417"/>
      <c r="U55" s="417"/>
      <c r="V55" s="417"/>
      <c r="W55" s="417"/>
      <c r="X55" s="417"/>
      <c r="Y55" s="417"/>
      <c r="Z55" s="417"/>
      <c r="AA55" s="417"/>
      <c r="AB55" s="417"/>
      <c r="AC55" s="417"/>
      <c r="AD55" s="417"/>
      <c r="AE55" s="417"/>
      <c r="AF55" s="417"/>
      <c r="AG55" s="417"/>
      <c r="AH55" s="40"/>
      <c r="AI55" s="40"/>
      <c r="AJ55" s="40"/>
      <c r="AK55" s="40"/>
      <c r="AL55" s="40"/>
      <c r="AM55" s="40"/>
      <c r="AN55" s="40"/>
      <c r="AO55" s="40"/>
      <c r="AP55" s="40"/>
      <c r="AQ55" s="40"/>
      <c r="AR55" s="40"/>
      <c r="AS55" s="40"/>
      <c r="AT55" s="40"/>
    </row>
    <row r="56" spans="2:46" ht="15.6">
      <c r="B56" s="98"/>
      <c r="C56" s="1113"/>
      <c r="D56" s="1113"/>
      <c r="E56" s="441"/>
      <c r="P56" s="417"/>
      <c r="Q56" s="417"/>
      <c r="R56" s="417"/>
      <c r="S56" s="417"/>
      <c r="T56" s="417"/>
      <c r="U56" s="417"/>
      <c r="V56" s="417"/>
      <c r="W56" s="417"/>
      <c r="X56" s="417"/>
      <c r="Y56" s="417"/>
      <c r="Z56" s="417"/>
      <c r="AA56" s="417"/>
      <c r="AB56" s="417"/>
      <c r="AC56" s="417"/>
      <c r="AD56" s="417"/>
      <c r="AE56" s="417"/>
      <c r="AF56" s="417"/>
      <c r="AG56" s="417"/>
      <c r="AH56" s="40"/>
      <c r="AI56" s="40"/>
      <c r="AJ56" s="40"/>
      <c r="AK56" s="40"/>
      <c r="AL56" s="40"/>
      <c r="AM56" s="40"/>
      <c r="AN56" s="40"/>
      <c r="AO56" s="40"/>
      <c r="AP56" s="40"/>
      <c r="AQ56" s="40"/>
      <c r="AR56" s="40"/>
      <c r="AS56" s="40"/>
      <c r="AT56" s="40"/>
    </row>
    <row r="57" spans="2:46">
      <c r="C57" s="1012" t="s">
        <v>13</v>
      </c>
      <c r="D57" s="877" t="str">
        <f>MID(E16,17,7)</f>
        <v>62-7032</v>
      </c>
      <c r="E57" s="427"/>
      <c r="G57" s="417"/>
      <c r="I57" s="417"/>
      <c r="J57" s="417"/>
      <c r="K57" s="417"/>
      <c r="L57" s="417"/>
      <c r="M57" s="417"/>
      <c r="N57" s="417"/>
      <c r="O57" s="417"/>
      <c r="P57" s="417"/>
      <c r="Q57" s="417"/>
      <c r="R57" s="417"/>
      <c r="S57" s="417"/>
      <c r="T57" s="417"/>
      <c r="U57" s="417"/>
      <c r="V57" s="417"/>
      <c r="W57" s="417"/>
      <c r="X57" s="417"/>
      <c r="Y57" s="417"/>
      <c r="Z57" s="417"/>
      <c r="AA57" s="417"/>
      <c r="AB57" s="417"/>
      <c r="AC57" s="417"/>
      <c r="AD57" s="417"/>
      <c r="AE57" s="417"/>
      <c r="AF57" s="417"/>
      <c r="AG57" s="417"/>
      <c r="AH57" s="40"/>
      <c r="AI57" s="40"/>
      <c r="AJ57" s="40"/>
      <c r="AK57" s="40"/>
      <c r="AL57" s="40"/>
      <c r="AM57" s="40"/>
      <c r="AN57" s="40"/>
      <c r="AO57" s="40"/>
      <c r="AP57" s="40"/>
      <c r="AQ57" s="40"/>
      <c r="AR57" s="40"/>
      <c r="AS57" s="40"/>
      <c r="AT57" s="40"/>
    </row>
    <row r="58" spans="2:46" ht="15.6">
      <c r="C58" s="417"/>
      <c r="D58" s="417"/>
      <c r="E58" s="427"/>
      <c r="F58" s="417"/>
      <c r="G58" s="417"/>
      <c r="I58" s="417"/>
      <c r="J58" s="417"/>
      <c r="K58" s="417" t="s">
        <v>11</v>
      </c>
      <c r="L58" s="417"/>
      <c r="M58" s="417"/>
      <c r="N58" s="442"/>
      <c r="O58" s="417"/>
      <c r="P58" s="417"/>
      <c r="Q58" s="417"/>
      <c r="R58" s="417"/>
      <c r="S58" s="417"/>
      <c r="T58" s="417"/>
      <c r="U58" s="417"/>
      <c r="V58" s="417"/>
      <c r="W58" s="417"/>
      <c r="X58" s="417"/>
      <c r="Y58" s="417"/>
      <c r="Z58" s="417"/>
      <c r="AA58" s="417"/>
      <c r="AB58" s="417"/>
      <c r="AC58" s="417"/>
      <c r="AD58" s="417"/>
      <c r="AE58" s="417"/>
      <c r="AF58" s="417"/>
      <c r="AG58" s="417"/>
      <c r="AH58" s="40"/>
      <c r="AI58" s="40"/>
      <c r="AJ58" s="40"/>
      <c r="AK58" s="40"/>
      <c r="AL58" s="40"/>
      <c r="AM58" s="40"/>
      <c r="AN58" s="40"/>
      <c r="AO58" s="40"/>
      <c r="AP58" s="40"/>
      <c r="AQ58" s="40"/>
      <c r="AR58" s="40"/>
      <c r="AS58" s="40"/>
      <c r="AT58" s="40"/>
    </row>
    <row r="59" spans="2:46" ht="15.6">
      <c r="C59" s="1316" t="s">
        <v>36</v>
      </c>
      <c r="D59" s="1316"/>
      <c r="E59" s="427"/>
      <c r="F59" s="443"/>
      <c r="G59" s="417"/>
      <c r="I59" s="417"/>
      <c r="J59" s="417"/>
      <c r="K59" s="417" t="s">
        <v>11</v>
      </c>
      <c r="L59" s="417"/>
      <c r="M59" s="417"/>
      <c r="O59" s="417"/>
      <c r="P59" s="417"/>
      <c r="Q59" s="417"/>
      <c r="R59" s="417"/>
      <c r="S59" s="417"/>
      <c r="T59" s="417"/>
      <c r="U59" s="417"/>
      <c r="V59" s="417"/>
      <c r="W59" s="417"/>
      <c r="X59" s="417"/>
      <c r="Y59" s="417"/>
      <c r="Z59" s="417"/>
      <c r="AA59" s="417"/>
      <c r="AB59" s="417"/>
      <c r="AC59" s="417"/>
      <c r="AD59" s="417"/>
      <c r="AE59" s="417"/>
      <c r="AF59" s="417"/>
      <c r="AG59" s="417"/>
      <c r="AH59" s="40"/>
      <c r="AI59" s="40"/>
      <c r="AJ59" s="40"/>
      <c r="AK59" s="40"/>
      <c r="AL59" s="40"/>
      <c r="AM59" s="40"/>
      <c r="AN59" s="40"/>
      <c r="AO59" s="40"/>
      <c r="AP59" s="40"/>
      <c r="AQ59" s="40"/>
      <c r="AR59" s="40"/>
      <c r="AS59" s="40"/>
      <c r="AT59" s="40"/>
    </row>
    <row r="60" spans="2:46" ht="15.6">
      <c r="C60" s="754" t="s">
        <v>37</v>
      </c>
      <c r="D60" s="865" t="str">
        <f>MID(E22,38,3)</f>
        <v xml:space="preserve">NO </v>
      </c>
      <c r="E60" s="418"/>
      <c r="F60" s="444"/>
      <c r="G60" s="441"/>
      <c r="I60" s="417"/>
      <c r="J60" s="417"/>
      <c r="K60" s="417" t="s">
        <v>11</v>
      </c>
      <c r="L60" s="416"/>
      <c r="O60" s="417"/>
      <c r="P60" s="417"/>
      <c r="Q60" s="417"/>
      <c r="R60" s="417"/>
      <c r="S60" s="417"/>
      <c r="T60" s="417"/>
      <c r="U60" s="417"/>
      <c r="V60" s="417"/>
      <c r="W60" s="417"/>
      <c r="X60" s="417"/>
      <c r="Y60" s="417"/>
      <c r="Z60" s="417"/>
      <c r="AA60" s="417"/>
      <c r="AB60" s="417"/>
      <c r="AC60" s="417"/>
      <c r="AD60" s="417"/>
      <c r="AE60" s="417"/>
      <c r="AF60" s="417"/>
      <c r="AG60" s="417"/>
      <c r="AH60" s="40"/>
      <c r="AI60" s="40"/>
      <c r="AJ60" s="40"/>
      <c r="AK60" s="40"/>
      <c r="AL60" s="40"/>
      <c r="AM60" s="40"/>
      <c r="AN60" s="40"/>
      <c r="AO60" s="40"/>
      <c r="AP60" s="40"/>
      <c r="AQ60" s="40"/>
      <c r="AR60" s="40"/>
      <c r="AS60" s="40"/>
      <c r="AT60" s="40"/>
    </row>
    <row r="61" spans="2:46" ht="15.6">
      <c r="C61" s="754" t="s">
        <v>38</v>
      </c>
      <c r="D61" s="865" t="str">
        <f>IF(D35="01","YES","NO")</f>
        <v>YES</v>
      </c>
      <c r="E61" s="418"/>
      <c r="F61" s="417"/>
      <c r="G61" s="417"/>
      <c r="K61" s="417" t="s">
        <v>11</v>
      </c>
      <c r="L61" s="416"/>
      <c r="O61" s="417"/>
      <c r="P61" s="417"/>
      <c r="Q61" s="417"/>
      <c r="R61" s="417"/>
      <c r="S61" s="417"/>
      <c r="T61" s="417"/>
      <c r="U61" s="417"/>
      <c r="V61" s="417"/>
      <c r="W61" s="417"/>
      <c r="X61" s="417"/>
      <c r="Y61" s="417"/>
      <c r="Z61" s="417"/>
      <c r="AA61" s="417"/>
      <c r="AB61" s="417"/>
      <c r="AC61" s="417"/>
      <c r="AD61" s="417"/>
      <c r="AE61" s="417"/>
      <c r="AF61" s="417"/>
      <c r="AG61" s="417"/>
      <c r="AH61" s="40"/>
      <c r="AI61" s="40"/>
      <c r="AJ61" s="40"/>
      <c r="AK61" s="40"/>
      <c r="AL61" s="40"/>
      <c r="AM61" s="40"/>
      <c r="AN61" s="40"/>
      <c r="AO61" s="40"/>
      <c r="AP61" s="40"/>
      <c r="AQ61" s="40"/>
      <c r="AR61" s="40"/>
      <c r="AS61" s="40"/>
      <c r="AT61" s="40"/>
    </row>
    <row r="62" spans="2:46" ht="15.6">
      <c r="B62" s="111" t="s">
        <v>11</v>
      </c>
      <c r="C62" s="755" t="s">
        <v>20</v>
      </c>
      <c r="D62" s="866">
        <f>+D23</f>
        <v>42277</v>
      </c>
      <c r="E62" s="418"/>
      <c r="F62" s="445"/>
      <c r="G62" s="417"/>
      <c r="I62" s="417"/>
      <c r="J62" s="417"/>
      <c r="K62" s="417" t="s">
        <v>11</v>
      </c>
      <c r="L62" s="417"/>
      <c r="M62" s="417"/>
      <c r="N62" s="417"/>
      <c r="O62" s="417"/>
      <c r="P62" s="417"/>
      <c r="Q62" s="417"/>
      <c r="R62" s="417"/>
      <c r="S62" s="417"/>
      <c r="T62" s="417"/>
      <c r="U62" s="417"/>
      <c r="V62" s="417"/>
      <c r="W62" s="417"/>
      <c r="X62" s="417"/>
      <c r="Y62" s="417"/>
      <c r="Z62" s="417"/>
      <c r="AA62" s="417"/>
      <c r="AB62" s="417"/>
      <c r="AC62" s="417"/>
      <c r="AD62" s="417"/>
      <c r="AE62" s="417"/>
      <c r="AF62" s="417"/>
      <c r="AG62" s="417"/>
      <c r="AH62" s="40"/>
      <c r="AI62" s="40"/>
      <c r="AJ62" s="40"/>
      <c r="AK62" s="40"/>
      <c r="AL62" s="40"/>
      <c r="AM62" s="40"/>
      <c r="AN62" s="40"/>
      <c r="AO62" s="40"/>
      <c r="AP62" s="40"/>
      <c r="AQ62" s="40"/>
      <c r="AR62" s="40"/>
      <c r="AS62" s="40"/>
      <c r="AT62" s="40"/>
    </row>
    <row r="63" spans="2:46" ht="15.6">
      <c r="C63" s="755" t="s">
        <v>23</v>
      </c>
      <c r="D63" s="866">
        <f>+D25</f>
        <v>42277</v>
      </c>
      <c r="E63" s="418"/>
      <c r="F63" s="445"/>
      <c r="G63" s="417"/>
      <c r="I63" s="417"/>
      <c r="J63" s="417"/>
      <c r="K63" s="417" t="s">
        <v>11</v>
      </c>
      <c r="L63" s="417"/>
      <c r="M63" s="417"/>
      <c r="N63" s="417"/>
      <c r="O63" s="417"/>
      <c r="P63" s="417"/>
      <c r="Q63" s="417"/>
      <c r="R63" s="417"/>
      <c r="S63" s="417"/>
      <c r="T63" s="417"/>
      <c r="U63" s="417"/>
      <c r="V63" s="417"/>
      <c r="W63" s="417"/>
      <c r="X63" s="417"/>
      <c r="Y63" s="417"/>
      <c r="Z63" s="417"/>
      <c r="AA63" s="417"/>
      <c r="AB63" s="417"/>
      <c r="AC63" s="417"/>
      <c r="AD63" s="417"/>
      <c r="AE63" s="417"/>
      <c r="AF63" s="417"/>
      <c r="AG63" s="417"/>
      <c r="AH63" s="40"/>
      <c r="AI63" s="40"/>
      <c r="AJ63" s="40"/>
      <c r="AK63" s="40"/>
      <c r="AL63" s="40"/>
      <c r="AM63" s="40"/>
      <c r="AN63" s="40"/>
      <c r="AO63" s="40"/>
      <c r="AP63" s="40"/>
      <c r="AQ63" s="40"/>
      <c r="AR63" s="40"/>
      <c r="AS63" s="40"/>
      <c r="AT63" s="40"/>
    </row>
    <row r="64" spans="2:46" ht="15.6">
      <c r="C64" s="753" t="s">
        <v>33</v>
      </c>
      <c r="D64" s="867">
        <f>D34</f>
        <v>2</v>
      </c>
      <c r="E64" s="854" t="s">
        <v>547</v>
      </c>
      <c r="F64" s="417"/>
      <c r="G64" s="417"/>
      <c r="I64" s="417"/>
      <c r="J64" s="417"/>
      <c r="K64" s="417" t="s">
        <v>11</v>
      </c>
      <c r="P64" s="417"/>
      <c r="Q64" s="417"/>
      <c r="R64" s="417"/>
      <c r="S64" s="417"/>
      <c r="T64" s="417"/>
      <c r="U64" s="417"/>
      <c r="V64" s="417"/>
      <c r="W64" s="417"/>
      <c r="X64" s="417"/>
      <c r="Y64" s="417"/>
      <c r="Z64" s="417"/>
      <c r="AA64" s="417"/>
      <c r="AB64" s="417"/>
      <c r="AC64" s="417"/>
      <c r="AD64" s="417"/>
      <c r="AE64" s="417"/>
      <c r="AF64" s="417"/>
      <c r="AG64" s="417"/>
      <c r="AH64" s="40"/>
      <c r="AI64" s="40"/>
      <c r="AJ64" s="40"/>
      <c r="AK64" s="40"/>
      <c r="AL64" s="40"/>
      <c r="AM64" s="40"/>
      <c r="AN64" s="40"/>
      <c r="AO64" s="40"/>
      <c r="AP64" s="40"/>
      <c r="AQ64" s="40"/>
      <c r="AR64" s="40"/>
      <c r="AS64" s="40"/>
      <c r="AT64" s="40"/>
    </row>
    <row r="65" spans="2:46" ht="16.2" thickBot="1">
      <c r="C65" s="873"/>
      <c r="D65" s="873"/>
      <c r="E65" s="418"/>
      <c r="F65" s="417"/>
      <c r="G65" s="417"/>
      <c r="I65" s="417"/>
      <c r="J65" s="417"/>
      <c r="K65" s="417"/>
      <c r="P65" s="417"/>
      <c r="Q65" s="417"/>
      <c r="R65" s="417"/>
      <c r="S65" s="417"/>
      <c r="T65" s="417"/>
      <c r="U65" s="417"/>
      <c r="V65" s="417"/>
      <c r="W65" s="417"/>
      <c r="X65" s="417"/>
      <c r="Y65" s="417"/>
      <c r="Z65" s="417"/>
      <c r="AA65" s="417"/>
      <c r="AB65" s="417"/>
      <c r="AC65" s="417"/>
      <c r="AD65" s="417"/>
      <c r="AE65" s="417"/>
      <c r="AF65" s="417"/>
      <c r="AG65" s="417"/>
      <c r="AH65" s="40"/>
      <c r="AI65" s="40"/>
      <c r="AJ65" s="40"/>
      <c r="AK65" s="40"/>
      <c r="AL65" s="40"/>
      <c r="AM65" s="40"/>
      <c r="AN65" s="40"/>
      <c r="AO65" s="40"/>
      <c r="AP65" s="40"/>
      <c r="AQ65" s="40"/>
      <c r="AR65" s="40"/>
      <c r="AS65" s="40"/>
      <c r="AT65" s="40"/>
    </row>
    <row r="66" spans="2:46" ht="34.5" customHeight="1" thickBot="1">
      <c r="B66" s="98"/>
      <c r="C66" s="875" t="s">
        <v>412</v>
      </c>
      <c r="D66" s="874"/>
      <c r="E66" s="418"/>
      <c r="F66" s="417"/>
      <c r="G66" s="417"/>
      <c r="I66" s="417"/>
      <c r="J66" s="417"/>
      <c r="K66" s="417"/>
      <c r="P66" s="417"/>
      <c r="Q66" s="417"/>
      <c r="R66" s="417"/>
      <c r="S66" s="417"/>
      <c r="T66" s="417"/>
      <c r="U66" s="417"/>
      <c r="V66" s="417"/>
      <c r="W66" s="417"/>
      <c r="X66" s="417"/>
      <c r="Y66" s="417"/>
      <c r="Z66" s="417"/>
      <c r="AA66" s="417"/>
      <c r="AB66" s="417"/>
      <c r="AC66" s="417"/>
      <c r="AD66" s="417"/>
      <c r="AE66" s="417"/>
      <c r="AF66" s="417"/>
      <c r="AG66" s="417"/>
      <c r="AH66" s="40"/>
      <c r="AI66" s="40"/>
      <c r="AJ66" s="40"/>
      <c r="AK66" s="40"/>
      <c r="AL66" s="40"/>
      <c r="AM66" s="40"/>
      <c r="AN66" s="40"/>
      <c r="AO66" s="40"/>
      <c r="AP66" s="40"/>
      <c r="AQ66" s="40"/>
      <c r="AR66" s="40"/>
      <c r="AS66" s="40"/>
      <c r="AT66" s="40"/>
    </row>
    <row r="67" spans="2:46" ht="15.6">
      <c r="B67" s="417"/>
      <c r="C67" s="417"/>
      <c r="D67" s="417"/>
      <c r="E67" s="417"/>
      <c r="F67" s="417"/>
      <c r="G67" s="417"/>
      <c r="H67" s="417"/>
      <c r="I67" s="417"/>
      <c r="J67" s="417"/>
      <c r="K67" s="417" t="s">
        <v>11</v>
      </c>
      <c r="P67" s="417"/>
      <c r="Q67" s="417"/>
      <c r="R67" s="417"/>
      <c r="S67" s="417"/>
      <c r="T67" s="417"/>
      <c r="U67" s="417"/>
      <c r="V67" s="417"/>
      <c r="W67" s="417"/>
      <c r="X67" s="417"/>
      <c r="Y67" s="417"/>
      <c r="Z67" s="417"/>
      <c r="AA67" s="417"/>
      <c r="AB67" s="417"/>
      <c r="AC67" s="417"/>
      <c r="AD67" s="417"/>
      <c r="AE67" s="417"/>
      <c r="AF67" s="417"/>
      <c r="AG67" s="417"/>
      <c r="AH67" s="40"/>
      <c r="AI67" s="40"/>
      <c r="AJ67" s="40"/>
      <c r="AK67" s="40"/>
      <c r="AL67" s="40"/>
      <c r="AM67" s="40"/>
      <c r="AN67" s="40"/>
      <c r="AO67" s="40"/>
      <c r="AP67" s="40"/>
      <c r="AQ67" s="40"/>
      <c r="AR67" s="40"/>
      <c r="AS67" s="40"/>
      <c r="AT67" s="40"/>
    </row>
    <row r="68" spans="2:46" ht="15.6">
      <c r="C68" s="1316" t="str">
        <f>"FROM CONTINUATION BUDGET "&amp;D17</f>
        <v>FROM CONTINUATION BUDGET 61-1620</v>
      </c>
      <c r="D68" s="1316"/>
      <c r="E68" s="853"/>
      <c r="F68" s="417"/>
      <c r="I68" s="417"/>
      <c r="J68" s="417"/>
      <c r="K68" s="417" t="s">
        <v>11</v>
      </c>
      <c r="P68" s="417"/>
      <c r="Q68" s="417"/>
      <c r="R68" s="417"/>
      <c r="S68" s="417"/>
      <c r="T68" s="417"/>
      <c r="U68" s="417"/>
      <c r="V68" s="417"/>
      <c r="W68" s="417"/>
      <c r="X68" s="417"/>
      <c r="Y68" s="417"/>
      <c r="Z68" s="417"/>
      <c r="AA68" s="417"/>
      <c r="AB68" s="417"/>
      <c r="AC68" s="417"/>
      <c r="AD68" s="417"/>
      <c r="AE68" s="417"/>
      <c r="AF68" s="417"/>
      <c r="AG68" s="417"/>
      <c r="AH68" s="40"/>
      <c r="AI68" s="40"/>
      <c r="AJ68" s="40"/>
      <c r="AK68" s="40"/>
      <c r="AL68" s="40"/>
      <c r="AM68" s="40"/>
      <c r="AN68" s="40"/>
      <c r="AO68" s="40"/>
      <c r="AP68" s="40"/>
      <c r="AQ68" s="40"/>
      <c r="AR68" s="40"/>
      <c r="AS68" s="40"/>
      <c r="AT68" s="40"/>
    </row>
    <row r="69" spans="2:46">
      <c r="C69" s="754" t="s">
        <v>39</v>
      </c>
      <c r="D69" s="1100">
        <v>0.08</v>
      </c>
      <c r="E69" s="854"/>
      <c r="F69" s="446"/>
      <c r="I69" s="417"/>
      <c r="J69" s="417"/>
      <c r="K69" s="417" t="s">
        <v>11</v>
      </c>
      <c r="P69" s="417"/>
      <c r="Q69" s="417"/>
      <c r="R69" s="417"/>
      <c r="S69" s="417"/>
      <c r="T69" s="417"/>
      <c r="U69" s="417"/>
      <c r="V69" s="417"/>
      <c r="W69" s="417"/>
      <c r="X69" s="417"/>
      <c r="Y69" s="417"/>
      <c r="Z69" s="417"/>
      <c r="AA69" s="417"/>
      <c r="AB69" s="417"/>
      <c r="AC69" s="417"/>
      <c r="AD69" s="417"/>
      <c r="AE69" s="417"/>
      <c r="AF69" s="417"/>
      <c r="AG69" s="417"/>
      <c r="AH69" s="40"/>
      <c r="AI69" s="40"/>
      <c r="AJ69" s="40"/>
      <c r="AK69" s="40"/>
      <c r="AL69" s="40"/>
      <c r="AM69" s="40"/>
      <c r="AN69" s="40"/>
      <c r="AO69" s="40"/>
      <c r="AP69" s="40"/>
      <c r="AQ69" s="40"/>
      <c r="AR69" s="40"/>
      <c r="AS69" s="40"/>
      <c r="AT69" s="40"/>
    </row>
    <row r="70" spans="2:46" ht="15.6">
      <c r="C70" s="440"/>
      <c r="D70" s="418"/>
      <c r="E70" s="853"/>
      <c r="F70" s="446"/>
      <c r="I70" s="417"/>
      <c r="J70" s="417"/>
      <c r="K70" s="417"/>
      <c r="P70" s="417"/>
      <c r="Q70" s="417"/>
      <c r="R70" s="417"/>
      <c r="S70" s="417"/>
      <c r="T70" s="417"/>
      <c r="U70" s="417"/>
      <c r="V70" s="417"/>
      <c r="W70" s="417"/>
      <c r="X70" s="417"/>
      <c r="Y70" s="417"/>
      <c r="Z70" s="417"/>
      <c r="AA70" s="417"/>
      <c r="AB70" s="417"/>
      <c r="AC70" s="417"/>
      <c r="AD70" s="417"/>
      <c r="AE70" s="417"/>
      <c r="AF70" s="417"/>
      <c r="AG70" s="417"/>
      <c r="AH70" s="40"/>
      <c r="AI70" s="40"/>
      <c r="AJ70" s="40"/>
      <c r="AK70" s="40"/>
      <c r="AL70" s="40"/>
      <c r="AM70" s="40"/>
      <c r="AN70" s="40"/>
      <c r="AO70" s="40"/>
      <c r="AP70" s="40"/>
      <c r="AQ70" s="40"/>
      <c r="AR70" s="40"/>
      <c r="AS70" s="40"/>
      <c r="AT70" s="40"/>
    </row>
    <row r="71" spans="2:46" ht="15.6">
      <c r="C71" s="1316" t="s">
        <v>515</v>
      </c>
      <c r="D71" s="1316"/>
      <c r="E71" s="853"/>
      <c r="F71" s="446"/>
      <c r="I71" s="417"/>
      <c r="J71" s="417"/>
      <c r="K71" s="417"/>
      <c r="P71" s="417"/>
      <c r="Q71" s="417"/>
      <c r="R71" s="417"/>
      <c r="S71" s="417"/>
      <c r="T71" s="417"/>
      <c r="U71" s="417"/>
      <c r="V71" s="417"/>
      <c r="W71" s="417"/>
      <c r="X71" s="417"/>
      <c r="Y71" s="417"/>
      <c r="Z71" s="417"/>
      <c r="AA71" s="417"/>
      <c r="AB71" s="417"/>
      <c r="AC71" s="417"/>
      <c r="AD71" s="417"/>
      <c r="AE71" s="417"/>
      <c r="AF71" s="417"/>
      <c r="AG71" s="417"/>
      <c r="AH71" s="40"/>
      <c r="AI71" s="40"/>
      <c r="AJ71" s="40"/>
      <c r="AK71" s="40"/>
      <c r="AL71" s="40"/>
      <c r="AM71" s="40"/>
      <c r="AN71" s="40"/>
      <c r="AO71" s="40"/>
      <c r="AP71" s="40"/>
      <c r="AQ71" s="40"/>
      <c r="AR71" s="40"/>
      <c r="AS71" s="40"/>
      <c r="AT71" s="40"/>
    </row>
    <row r="72" spans="2:46" ht="15.6">
      <c r="C72" s="761" t="str">
        <f>"Less Unobl. Balance on " &amp;D17</f>
        <v>Less Unobl. Balance on 61-1620</v>
      </c>
      <c r="D72" s="757"/>
      <c r="E72" s="853"/>
      <c r="F72" s="446"/>
      <c r="I72" s="417"/>
      <c r="J72" s="417"/>
      <c r="K72" s="417"/>
      <c r="P72" s="417"/>
      <c r="Q72" s="417"/>
      <c r="R72" s="417"/>
      <c r="S72" s="417"/>
      <c r="T72" s="417"/>
      <c r="U72" s="417"/>
      <c r="V72" s="417"/>
      <c r="W72" s="417"/>
      <c r="X72" s="417"/>
      <c r="Y72" s="417"/>
      <c r="Z72" s="417"/>
      <c r="AA72" s="417"/>
      <c r="AB72" s="417"/>
      <c r="AC72" s="417"/>
      <c r="AD72" s="417"/>
      <c r="AE72" s="417"/>
      <c r="AF72" s="417"/>
      <c r="AG72" s="417"/>
      <c r="AH72" s="40"/>
      <c r="AI72" s="40"/>
      <c r="AJ72" s="40"/>
      <c r="AK72" s="40"/>
      <c r="AL72" s="40"/>
      <c r="AM72" s="40"/>
      <c r="AN72" s="40"/>
      <c r="AO72" s="40"/>
      <c r="AP72" s="40"/>
      <c r="AQ72" s="40"/>
      <c r="AR72" s="40"/>
      <c r="AS72" s="40"/>
      <c r="AT72" s="40"/>
    </row>
    <row r="73" spans="2:46" ht="15.6">
      <c r="C73" s="762" t="s">
        <v>390</v>
      </c>
      <c r="D73" s="758"/>
      <c r="E73" s="855"/>
      <c r="F73" s="417"/>
      <c r="K73" s="417" t="s">
        <v>11</v>
      </c>
      <c r="P73" s="417"/>
      <c r="Q73" s="417"/>
      <c r="R73" s="417"/>
      <c r="S73" s="417"/>
      <c r="T73" s="417"/>
      <c r="U73" s="417"/>
      <c r="V73" s="417"/>
      <c r="W73" s="417"/>
      <c r="X73" s="417"/>
      <c r="Y73" s="417"/>
      <c r="Z73" s="417"/>
      <c r="AA73" s="417"/>
      <c r="AB73" s="417"/>
      <c r="AC73" s="417"/>
      <c r="AD73" s="417"/>
      <c r="AE73" s="417"/>
      <c r="AF73" s="417"/>
      <c r="AG73" s="417"/>
      <c r="AH73" s="40"/>
      <c r="AI73" s="40"/>
      <c r="AJ73" s="40"/>
      <c r="AK73" s="40"/>
      <c r="AL73" s="40"/>
      <c r="AM73" s="40"/>
      <c r="AN73" s="40"/>
      <c r="AO73" s="40"/>
      <c r="AP73" s="40"/>
      <c r="AQ73" s="40"/>
      <c r="AR73" s="40"/>
      <c r="AS73" s="40"/>
      <c r="AT73" s="40"/>
    </row>
    <row r="74" spans="2:46" ht="15.6">
      <c r="C74" s="357"/>
      <c r="D74" s="447"/>
      <c r="E74" s="855"/>
      <c r="F74" s="417"/>
      <c r="K74" s="417"/>
      <c r="P74" s="417"/>
      <c r="Q74" s="417"/>
      <c r="R74" s="417"/>
      <c r="S74" s="417"/>
      <c r="T74" s="417"/>
      <c r="U74" s="417"/>
      <c r="V74" s="417"/>
      <c r="W74" s="417"/>
      <c r="X74" s="417"/>
      <c r="Y74" s="417"/>
      <c r="Z74" s="417"/>
      <c r="AA74" s="417"/>
      <c r="AB74" s="417"/>
      <c r="AC74" s="417"/>
      <c r="AD74" s="417"/>
      <c r="AE74" s="417"/>
      <c r="AF74" s="417"/>
      <c r="AG74" s="417"/>
      <c r="AH74" s="40"/>
      <c r="AI74" s="40"/>
      <c r="AJ74" s="40"/>
      <c r="AK74" s="40"/>
      <c r="AL74" s="40"/>
      <c r="AM74" s="40"/>
      <c r="AN74" s="40"/>
      <c r="AO74" s="40"/>
      <c r="AP74" s="40"/>
      <c r="AQ74" s="40"/>
      <c r="AR74" s="40"/>
      <c r="AS74" s="40"/>
      <c r="AT74" s="40"/>
    </row>
    <row r="75" spans="2:46" ht="15.6">
      <c r="C75" s="1316" t="s">
        <v>516</v>
      </c>
      <c r="D75" s="1316"/>
      <c r="E75" s="474"/>
      <c r="F75" s="417"/>
      <c r="K75" s="417" t="s">
        <v>11</v>
      </c>
      <c r="P75" s="417"/>
      <c r="Q75" s="417"/>
      <c r="R75" s="417"/>
      <c r="S75" s="417"/>
      <c r="T75" s="417"/>
      <c r="U75" s="417"/>
      <c r="V75" s="417"/>
      <c r="W75" s="417"/>
      <c r="X75" s="417"/>
      <c r="Y75" s="417"/>
      <c r="Z75" s="417"/>
      <c r="AA75" s="417"/>
      <c r="AB75" s="417"/>
      <c r="AC75" s="417"/>
      <c r="AD75" s="417"/>
      <c r="AE75" s="417"/>
      <c r="AF75" s="417"/>
      <c r="AG75" s="417"/>
      <c r="AH75" s="40"/>
      <c r="AI75" s="40"/>
      <c r="AJ75" s="40"/>
      <c r="AK75" s="40"/>
      <c r="AL75" s="40"/>
      <c r="AM75" s="40"/>
      <c r="AN75" s="40"/>
      <c r="AO75" s="40"/>
      <c r="AP75" s="40"/>
      <c r="AQ75" s="40"/>
      <c r="AR75" s="40"/>
      <c r="AS75" s="40"/>
      <c r="AT75" s="40"/>
    </row>
    <row r="76" spans="2:46">
      <c r="C76" s="753" t="s">
        <v>391</v>
      </c>
      <c r="D76" s="759">
        <v>42849</v>
      </c>
      <c r="E76" s="853" t="s">
        <v>534</v>
      </c>
      <c r="F76" s="417"/>
      <c r="P76" s="417"/>
      <c r="Q76" s="417"/>
      <c r="R76" s="417"/>
      <c r="S76" s="417"/>
      <c r="T76" s="417"/>
      <c r="U76" s="417"/>
      <c r="V76" s="417"/>
      <c r="W76" s="417"/>
      <c r="X76" s="417"/>
      <c r="Y76" s="417"/>
      <c r="Z76" s="417"/>
      <c r="AA76" s="417"/>
      <c r="AB76" s="417"/>
      <c r="AC76" s="417"/>
      <c r="AD76" s="417"/>
      <c r="AE76" s="417"/>
      <c r="AF76" s="417"/>
      <c r="AG76" s="417"/>
      <c r="AH76" s="40"/>
      <c r="AI76" s="40"/>
      <c r="AJ76" s="40"/>
      <c r="AK76" s="40"/>
      <c r="AL76" s="40"/>
      <c r="AM76" s="40"/>
      <c r="AN76" s="40"/>
      <c r="AO76" s="40"/>
      <c r="AP76" s="40"/>
      <c r="AQ76" s="40"/>
      <c r="AR76" s="40"/>
      <c r="AS76" s="40"/>
      <c r="AT76" s="40"/>
    </row>
    <row r="77" spans="2:46">
      <c r="C77" s="753" t="s">
        <v>42</v>
      </c>
      <c r="D77" s="760">
        <f>-109867+83055.72</f>
        <v>-26811.279999999999</v>
      </c>
      <c r="E77" s="857" t="s">
        <v>532</v>
      </c>
      <c r="F77" s="417"/>
      <c r="P77" s="417"/>
      <c r="Q77" s="417"/>
      <c r="R77" s="417"/>
      <c r="S77" s="417"/>
      <c r="T77" s="417"/>
      <c r="U77" s="417"/>
      <c r="V77" s="417"/>
      <c r="W77" s="417"/>
      <c r="X77" s="417"/>
      <c r="Y77" s="417"/>
      <c r="Z77" s="417"/>
      <c r="AA77" s="417"/>
      <c r="AB77" s="417"/>
      <c r="AC77" s="417"/>
      <c r="AD77" s="417"/>
      <c r="AE77" s="417"/>
      <c r="AF77" s="417"/>
      <c r="AG77" s="417"/>
      <c r="AH77" s="40"/>
      <c r="AI77" s="40"/>
      <c r="AJ77" s="40"/>
      <c r="AK77" s="40"/>
      <c r="AL77" s="40"/>
      <c r="AM77" s="40"/>
      <c r="AN77" s="40"/>
      <c r="AO77" s="40"/>
      <c r="AP77" s="40"/>
      <c r="AQ77" s="40"/>
      <c r="AR77" s="40"/>
      <c r="AS77" s="40"/>
      <c r="AT77" s="40"/>
    </row>
    <row r="78" spans="2:46">
      <c r="B78" s="111" t="s">
        <v>11</v>
      </c>
      <c r="C78" s="753" t="s">
        <v>517</v>
      </c>
      <c r="D78" s="760">
        <v>76903.45</v>
      </c>
      <c r="E78" s="857"/>
      <c r="F78" s="417"/>
      <c r="P78" s="417"/>
      <c r="Q78" s="417"/>
      <c r="R78" s="417"/>
      <c r="S78" s="417"/>
      <c r="T78" s="417"/>
      <c r="U78" s="417"/>
      <c r="V78" s="417"/>
      <c r="W78" s="417"/>
      <c r="X78" s="417"/>
      <c r="Y78" s="417"/>
      <c r="Z78" s="417"/>
      <c r="AA78" s="417"/>
      <c r="AB78" s="417"/>
      <c r="AC78" s="417"/>
      <c r="AD78" s="417"/>
      <c r="AE78" s="417"/>
      <c r="AF78" s="417"/>
      <c r="AG78" s="417"/>
      <c r="AH78" s="40"/>
      <c r="AI78" s="40"/>
      <c r="AJ78" s="40"/>
      <c r="AK78" s="40"/>
      <c r="AL78" s="40"/>
      <c r="AM78" s="40"/>
      <c r="AN78" s="40"/>
      <c r="AO78" s="40"/>
      <c r="AP78" s="40"/>
      <c r="AQ78" s="40"/>
      <c r="AR78" s="40"/>
      <c r="AS78" s="40"/>
      <c r="AT78" s="40"/>
    </row>
    <row r="79" spans="2:46">
      <c r="C79" s="753" t="s">
        <v>518</v>
      </c>
      <c r="D79" s="760">
        <v>6152.27</v>
      </c>
      <c r="E79" s="856"/>
      <c r="F79" s="417"/>
      <c r="P79" s="417"/>
      <c r="Q79" s="417"/>
      <c r="R79" s="417"/>
      <c r="S79" s="417"/>
      <c r="T79" s="417"/>
      <c r="U79" s="417"/>
      <c r="V79" s="417"/>
      <c r="W79" s="417"/>
      <c r="X79" s="417"/>
      <c r="Y79" s="417"/>
      <c r="Z79" s="417"/>
      <c r="AA79" s="417"/>
      <c r="AB79" s="417"/>
      <c r="AC79" s="417"/>
      <c r="AD79" s="417"/>
      <c r="AE79" s="417"/>
      <c r="AF79" s="417"/>
      <c r="AG79" s="417"/>
      <c r="AH79" s="40"/>
      <c r="AI79" s="40"/>
      <c r="AJ79" s="40"/>
      <c r="AK79" s="40"/>
      <c r="AL79" s="40"/>
      <c r="AM79" s="40"/>
      <c r="AN79" s="40"/>
      <c r="AO79" s="40"/>
      <c r="AP79" s="40"/>
      <c r="AQ79" s="40"/>
      <c r="AR79" s="40"/>
      <c r="AS79" s="40"/>
      <c r="AT79" s="40"/>
    </row>
    <row r="80" spans="2:46">
      <c r="C80" s="753" t="s">
        <v>43</v>
      </c>
      <c r="D80" s="868">
        <f>-D77+D78+D79</f>
        <v>109867</v>
      </c>
      <c r="E80" s="856" t="s">
        <v>533</v>
      </c>
      <c r="F80" s="417"/>
      <c r="I80" s="448"/>
      <c r="P80" s="417"/>
      <c r="Q80" s="417"/>
      <c r="R80" s="417"/>
      <c r="S80" s="417"/>
      <c r="T80" s="417"/>
      <c r="U80" s="417"/>
      <c r="V80" s="417"/>
      <c r="W80" s="417"/>
      <c r="X80" s="417"/>
      <c r="Y80" s="417"/>
      <c r="Z80" s="417"/>
      <c r="AA80" s="417"/>
      <c r="AB80" s="417"/>
      <c r="AC80" s="417"/>
      <c r="AD80" s="417"/>
      <c r="AE80" s="417"/>
      <c r="AF80" s="417"/>
      <c r="AG80" s="417"/>
      <c r="AH80" s="40"/>
      <c r="AI80" s="40"/>
      <c r="AJ80" s="40"/>
      <c r="AK80" s="40"/>
      <c r="AL80" s="40"/>
      <c r="AM80" s="40"/>
      <c r="AN80" s="40"/>
      <c r="AO80" s="40"/>
      <c r="AP80" s="40"/>
      <c r="AQ80" s="40"/>
      <c r="AR80" s="40"/>
      <c r="AS80" s="40"/>
      <c r="AT80" s="40"/>
    </row>
    <row r="81" spans="2:46" ht="15.6">
      <c r="C81" s="417"/>
      <c r="D81" s="417"/>
      <c r="E81" s="855"/>
      <c r="F81" s="417"/>
      <c r="P81" s="417"/>
      <c r="Q81" s="417"/>
      <c r="R81" s="417"/>
      <c r="S81" s="417"/>
      <c r="T81" s="417"/>
      <c r="U81" s="417"/>
      <c r="V81" s="417"/>
      <c r="W81" s="417"/>
      <c r="X81" s="417"/>
      <c r="Y81" s="417"/>
      <c r="Z81" s="417"/>
      <c r="AA81" s="417"/>
      <c r="AB81" s="417"/>
      <c r="AC81" s="417"/>
      <c r="AD81" s="417"/>
      <c r="AE81" s="417"/>
      <c r="AF81" s="417"/>
      <c r="AG81" s="417"/>
      <c r="AH81" s="40"/>
      <c r="AI81" s="40"/>
      <c r="AJ81" s="40"/>
      <c r="AK81" s="40"/>
      <c r="AL81" s="40"/>
      <c r="AM81" s="40"/>
      <c r="AN81" s="40"/>
      <c r="AO81" s="40"/>
      <c r="AP81" s="40"/>
      <c r="AQ81" s="40"/>
      <c r="AR81" s="40"/>
      <c r="AS81" s="40"/>
      <c r="AT81" s="40"/>
    </row>
    <row r="82" spans="2:46" ht="15.6">
      <c r="C82" s="1316" t="str">
        <f>"FROM MyFD - IDC EXEMPTIONS FOR BASE "&amp;D20</f>
        <v>FROM MyFD - IDC EXEMPTIONS FOR BASE 23</v>
      </c>
      <c r="D82" s="1316"/>
      <c r="E82" s="858"/>
      <c r="F82" s="417"/>
      <c r="I82" s="417"/>
      <c r="J82" s="417"/>
      <c r="K82" s="417"/>
      <c r="L82" s="417"/>
      <c r="M82" s="417"/>
      <c r="P82" s="417"/>
      <c r="Q82" s="417"/>
      <c r="R82" s="417"/>
      <c r="S82" s="417"/>
      <c r="T82" s="417"/>
      <c r="U82" s="417"/>
      <c r="V82" s="417"/>
      <c r="W82" s="417"/>
      <c r="X82" s="417"/>
      <c r="Y82" s="417"/>
      <c r="Z82" s="417"/>
      <c r="AA82" s="417"/>
      <c r="AB82" s="417"/>
      <c r="AC82" s="417"/>
      <c r="AD82" s="417"/>
      <c r="AE82" s="417"/>
      <c r="AF82" s="417"/>
      <c r="AG82" s="417"/>
      <c r="AH82" s="40"/>
      <c r="AI82" s="40"/>
      <c r="AJ82" s="40"/>
      <c r="AK82" s="40"/>
      <c r="AL82" s="40"/>
      <c r="AM82" s="40"/>
      <c r="AN82" s="40"/>
      <c r="AO82" s="40"/>
      <c r="AP82" s="40"/>
      <c r="AQ82" s="40"/>
      <c r="AR82" s="40"/>
      <c r="AS82" s="40"/>
      <c r="AT82" s="40"/>
    </row>
    <row r="83" spans="2:46">
      <c r="B83" s="111" t="s">
        <v>11</v>
      </c>
      <c r="C83" s="869" t="s">
        <v>522</v>
      </c>
      <c r="D83" s="763"/>
      <c r="E83" s="853"/>
      <c r="F83" s="622" t="s">
        <v>530</v>
      </c>
      <c r="H83" s="417"/>
      <c r="I83" s="417"/>
      <c r="J83" s="417"/>
      <c r="K83" s="417"/>
      <c r="L83" s="417"/>
      <c r="M83" s="441"/>
      <c r="N83" s="98"/>
      <c r="P83" s="417"/>
      <c r="Q83" s="417"/>
      <c r="R83" s="417"/>
      <c r="S83" s="417"/>
      <c r="T83" s="417"/>
      <c r="U83" s="417"/>
      <c r="V83" s="417"/>
      <c r="W83" s="417"/>
      <c r="X83" s="417"/>
      <c r="Y83" s="417"/>
      <c r="Z83" s="417"/>
      <c r="AA83" s="417"/>
      <c r="AB83" s="417"/>
      <c r="AC83" s="417"/>
      <c r="AD83" s="417"/>
      <c r="AE83" s="417"/>
      <c r="AF83" s="417"/>
      <c r="AG83" s="417"/>
      <c r="AH83" s="40"/>
      <c r="AI83" s="40"/>
      <c r="AJ83" s="40"/>
      <c r="AK83" s="40"/>
      <c r="AL83" s="40"/>
      <c r="AM83" s="40"/>
      <c r="AN83" s="40"/>
      <c r="AO83" s="40"/>
      <c r="AP83" s="40"/>
      <c r="AQ83" s="40"/>
      <c r="AR83" s="40"/>
      <c r="AS83" s="40"/>
      <c r="AT83" s="40"/>
    </row>
    <row r="84" spans="2:46">
      <c r="C84" s="869" t="s">
        <v>44</v>
      </c>
      <c r="D84" s="763"/>
      <c r="E84" s="852"/>
      <c r="F84" s="844"/>
      <c r="G84" s="845"/>
      <c r="H84" s="846" t="s">
        <v>398</v>
      </c>
      <c r="I84" s="847" t="s">
        <v>45</v>
      </c>
      <c r="J84" s="847" t="s">
        <v>46</v>
      </c>
      <c r="K84" s="847" t="s">
        <v>47</v>
      </c>
      <c r="L84" s="847" t="s">
        <v>45</v>
      </c>
      <c r="M84" s="1043"/>
      <c r="N84" s="1044"/>
      <c r="P84" s="417"/>
      <c r="Q84" s="417"/>
      <c r="R84" s="417"/>
      <c r="S84" s="417"/>
      <c r="T84" s="417"/>
      <c r="U84" s="417"/>
      <c r="V84" s="417"/>
      <c r="W84" s="417"/>
      <c r="X84" s="417"/>
      <c r="Y84" s="417"/>
      <c r="Z84" s="417"/>
      <c r="AA84" s="417"/>
      <c r="AB84" s="417"/>
      <c r="AC84" s="417"/>
      <c r="AD84" s="417"/>
      <c r="AE84" s="417"/>
      <c r="AF84" s="417"/>
      <c r="AG84" s="417"/>
      <c r="AH84" s="40"/>
      <c r="AI84" s="40"/>
      <c r="AJ84" s="40"/>
      <c r="AK84" s="40"/>
      <c r="AL84" s="40"/>
      <c r="AM84" s="40"/>
      <c r="AN84" s="40"/>
      <c r="AO84" s="40"/>
      <c r="AP84" s="40"/>
      <c r="AQ84" s="40"/>
      <c r="AR84" s="40"/>
      <c r="AS84" s="40"/>
      <c r="AT84" s="40"/>
    </row>
    <row r="85" spans="2:46">
      <c r="C85" s="869" t="s">
        <v>384</v>
      </c>
      <c r="D85" s="763"/>
      <c r="E85" s="111"/>
      <c r="F85" s="848"/>
      <c r="G85" s="849" t="s">
        <v>523</v>
      </c>
      <c r="H85" s="850" t="s">
        <v>49</v>
      </c>
      <c r="I85" s="851" t="s">
        <v>50</v>
      </c>
      <c r="J85" s="851" t="s">
        <v>51</v>
      </c>
      <c r="K85" s="851" t="s">
        <v>45</v>
      </c>
      <c r="L85" s="851" t="s">
        <v>52</v>
      </c>
      <c r="M85" s="1043"/>
      <c r="N85" s="1044"/>
      <c r="P85" s="417"/>
      <c r="Q85" s="417"/>
      <c r="R85" s="417"/>
      <c r="S85" s="417"/>
      <c r="T85" s="417"/>
      <c r="U85" s="417"/>
      <c r="V85" s="417"/>
      <c r="W85" s="417"/>
      <c r="X85" s="417"/>
      <c r="Y85" s="417"/>
      <c r="Z85" s="417"/>
      <c r="AA85" s="417"/>
      <c r="AB85" s="417"/>
      <c r="AC85" s="417"/>
      <c r="AD85" s="417"/>
      <c r="AE85" s="417"/>
      <c r="AF85" s="417"/>
      <c r="AG85" s="417"/>
      <c r="AH85" s="40"/>
      <c r="AI85" s="40"/>
      <c r="AJ85" s="40"/>
      <c r="AK85" s="40"/>
      <c r="AL85" s="40"/>
      <c r="AM85" s="40"/>
      <c r="AN85" s="40"/>
      <c r="AO85" s="40"/>
      <c r="AP85" s="40"/>
      <c r="AQ85" s="40"/>
      <c r="AR85" s="40"/>
      <c r="AS85" s="40"/>
      <c r="AT85" s="40"/>
    </row>
    <row r="86" spans="2:46">
      <c r="C86" s="869" t="s">
        <v>385</v>
      </c>
      <c r="D86" s="763"/>
      <c r="E86" s="1082" t="s">
        <v>557</v>
      </c>
      <c r="F86" s="1319" t="s">
        <v>576</v>
      </c>
      <c r="G86" s="1320"/>
      <c r="H86" s="842">
        <f>+D76</f>
        <v>42849</v>
      </c>
      <c r="I86" s="840">
        <f>+D19</f>
        <v>0.08</v>
      </c>
      <c r="J86" s="841">
        <f>+D78+D79</f>
        <v>83055.72</v>
      </c>
      <c r="K86" s="841">
        <f>+D79</f>
        <v>6152.27</v>
      </c>
      <c r="L86" s="841">
        <f>+D90</f>
        <v>0</v>
      </c>
      <c r="M86" s="810"/>
      <c r="N86" s="98"/>
      <c r="O86" s="98"/>
      <c r="P86" s="417"/>
      <c r="Q86" s="417"/>
      <c r="R86" s="417"/>
      <c r="S86" s="417"/>
      <c r="T86" s="417"/>
      <c r="U86" s="417"/>
      <c r="V86" s="417"/>
      <c r="W86" s="417"/>
      <c r="X86" s="417"/>
      <c r="Y86" s="417"/>
      <c r="Z86" s="417"/>
      <c r="AA86" s="417"/>
      <c r="AB86" s="417"/>
      <c r="AC86" s="417"/>
      <c r="AD86" s="417"/>
      <c r="AE86" s="417"/>
      <c r="AF86" s="417"/>
      <c r="AG86" s="417"/>
      <c r="AH86" s="40"/>
      <c r="AI86" s="40"/>
      <c r="AJ86" s="40"/>
      <c r="AK86" s="40"/>
      <c r="AL86" s="40"/>
      <c r="AM86" s="40"/>
      <c r="AN86" s="40"/>
      <c r="AO86" s="40"/>
      <c r="AP86" s="40"/>
      <c r="AQ86" s="40"/>
      <c r="AR86" s="40"/>
      <c r="AS86" s="40"/>
      <c r="AT86" s="40"/>
    </row>
    <row r="87" spans="2:46">
      <c r="C87" s="869" t="s">
        <v>383</v>
      </c>
      <c r="D87" s="763"/>
      <c r="E87" s="1082" t="s">
        <v>558</v>
      </c>
      <c r="F87" s="1319" t="s">
        <v>576</v>
      </c>
      <c r="G87" s="1321"/>
      <c r="H87" s="843"/>
      <c r="I87" s="832"/>
      <c r="J87" s="833"/>
      <c r="K87" s="833"/>
      <c r="L87" s="833"/>
      <c r="M87" s="417"/>
      <c r="P87" s="417"/>
      <c r="Q87" s="417"/>
      <c r="R87" s="417"/>
      <c r="S87" s="417"/>
      <c r="T87" s="417"/>
      <c r="U87" s="417"/>
      <c r="V87" s="417"/>
      <c r="W87" s="417"/>
      <c r="X87" s="417"/>
      <c r="Y87" s="417"/>
      <c r="Z87" s="417"/>
      <c r="AA87" s="417"/>
      <c r="AB87" s="417"/>
      <c r="AC87" s="417"/>
      <c r="AD87" s="417"/>
      <c r="AE87" s="417"/>
      <c r="AF87" s="417"/>
      <c r="AG87" s="417"/>
      <c r="AH87" s="40"/>
      <c r="AI87" s="40"/>
      <c r="AJ87" s="40"/>
      <c r="AK87" s="40"/>
      <c r="AL87" s="40"/>
      <c r="AM87" s="40"/>
      <c r="AN87" s="40"/>
      <c r="AO87" s="40"/>
      <c r="AP87" s="40"/>
      <c r="AQ87" s="40"/>
      <c r="AR87" s="40"/>
      <c r="AS87" s="40"/>
      <c r="AT87" s="40"/>
    </row>
    <row r="88" spans="2:46">
      <c r="C88" s="869" t="s">
        <v>382</v>
      </c>
      <c r="D88" s="763"/>
      <c r="E88" s="1082" t="s">
        <v>559</v>
      </c>
      <c r="F88" s="1319" t="s">
        <v>576</v>
      </c>
      <c r="G88" s="1321"/>
      <c r="H88" s="843"/>
      <c r="I88" s="832"/>
      <c r="J88" s="833"/>
      <c r="K88" s="833"/>
      <c r="L88" s="833"/>
      <c r="P88" s="417"/>
      <c r="Q88" s="417"/>
      <c r="R88" s="417"/>
      <c r="S88" s="417"/>
      <c r="T88" s="417"/>
      <c r="U88" s="417"/>
      <c r="V88" s="417"/>
      <c r="W88" s="417"/>
      <c r="X88" s="417"/>
      <c r="Y88" s="417"/>
      <c r="Z88" s="417"/>
      <c r="AA88" s="417"/>
      <c r="AB88" s="417"/>
      <c r="AC88" s="417"/>
      <c r="AD88" s="417"/>
      <c r="AE88" s="417"/>
      <c r="AF88" s="417"/>
      <c r="AG88" s="417"/>
      <c r="AH88" s="40"/>
      <c r="AI88" s="40"/>
      <c r="AJ88" s="40"/>
      <c r="AK88" s="40"/>
      <c r="AL88" s="40"/>
      <c r="AM88" s="40"/>
      <c r="AN88" s="40"/>
      <c r="AO88" s="40"/>
      <c r="AP88" s="40"/>
      <c r="AQ88" s="40"/>
      <c r="AR88" s="40"/>
      <c r="AS88" s="40"/>
      <c r="AT88" s="40"/>
    </row>
    <row r="89" spans="2:46">
      <c r="C89" s="869" t="s">
        <v>598</v>
      </c>
      <c r="D89" s="763"/>
      <c r="E89" s="1082" t="s">
        <v>560</v>
      </c>
      <c r="F89" s="1324"/>
      <c r="G89" s="1325"/>
      <c r="H89" s="843"/>
      <c r="I89" s="832"/>
      <c r="J89" s="833"/>
      <c r="K89" s="833"/>
      <c r="L89" s="833"/>
      <c r="P89" s="417"/>
      <c r="Q89" s="417"/>
      <c r="R89" s="417"/>
      <c r="S89" s="417"/>
      <c r="T89" s="417"/>
      <c r="U89" s="417"/>
      <c r="V89" s="417"/>
      <c r="W89" s="417"/>
      <c r="X89" s="417"/>
      <c r="Y89" s="417"/>
      <c r="Z89" s="417"/>
      <c r="AA89" s="417"/>
      <c r="AB89" s="417"/>
      <c r="AC89" s="417"/>
      <c r="AD89" s="417"/>
      <c r="AE89" s="417"/>
      <c r="AF89" s="417"/>
      <c r="AG89" s="417"/>
      <c r="AH89" s="40"/>
      <c r="AI89" s="40"/>
      <c r="AJ89" s="40"/>
      <c r="AK89" s="40"/>
      <c r="AL89" s="40"/>
      <c r="AM89" s="40"/>
      <c r="AN89" s="40"/>
      <c r="AO89" s="40"/>
      <c r="AP89" s="40"/>
      <c r="AQ89" s="40"/>
      <c r="AR89" s="40"/>
      <c r="AS89" s="40"/>
      <c r="AT89" s="40"/>
    </row>
    <row r="90" spans="2:46">
      <c r="C90" s="764" t="s">
        <v>48</v>
      </c>
      <c r="D90" s="765">
        <f>SUM(D83:D89)</f>
        <v>0</v>
      </c>
      <c r="E90" s="556"/>
      <c r="F90" s="1327"/>
      <c r="G90" s="1328"/>
      <c r="H90" s="1050"/>
      <c r="I90" s="1051"/>
      <c r="J90" s="1049"/>
      <c r="K90" s="1049"/>
      <c r="L90" s="1049"/>
      <c r="P90" s="417"/>
      <c r="Q90" s="417"/>
      <c r="R90" s="417"/>
      <c r="S90" s="417"/>
      <c r="T90" s="417"/>
      <c r="U90" s="417"/>
      <c r="V90" s="417"/>
      <c r="W90" s="417"/>
      <c r="X90" s="417"/>
      <c r="Y90" s="417"/>
      <c r="Z90" s="417"/>
      <c r="AA90" s="417"/>
      <c r="AB90" s="417"/>
      <c r="AC90" s="417"/>
      <c r="AD90" s="417"/>
      <c r="AE90" s="417"/>
      <c r="AF90" s="417"/>
      <c r="AG90" s="417"/>
      <c r="AH90" s="40"/>
      <c r="AI90" s="40"/>
      <c r="AJ90" s="40"/>
      <c r="AK90" s="40"/>
      <c r="AL90" s="40"/>
      <c r="AM90" s="40"/>
      <c r="AN90" s="40"/>
      <c r="AO90" s="40"/>
      <c r="AP90" s="40"/>
      <c r="AQ90" s="40"/>
      <c r="AR90" s="40"/>
      <c r="AS90" s="40"/>
      <c r="AT90" s="40"/>
    </row>
    <row r="91" spans="2:46">
      <c r="C91" s="764" t="s">
        <v>53</v>
      </c>
      <c r="D91" s="766">
        <f>IDC!J16</f>
        <v>5.9999999994033715E-3</v>
      </c>
      <c r="E91" s="853"/>
      <c r="F91" s="417"/>
      <c r="P91" s="417"/>
      <c r="Q91" s="417"/>
      <c r="R91" s="417"/>
      <c r="S91" s="417"/>
      <c r="T91" s="417"/>
      <c r="U91" s="417"/>
      <c r="V91" s="417"/>
      <c r="W91" s="417"/>
      <c r="X91" s="417"/>
      <c r="Y91" s="417"/>
      <c r="Z91" s="417"/>
      <c r="AA91" s="417"/>
      <c r="AB91" s="417"/>
      <c r="AC91" s="417"/>
      <c r="AD91" s="417"/>
      <c r="AE91" s="417"/>
      <c r="AF91" s="417"/>
      <c r="AG91" s="417"/>
      <c r="AH91" s="40"/>
      <c r="AI91" s="40"/>
      <c r="AJ91" s="40"/>
      <c r="AK91" s="40"/>
      <c r="AL91" s="40"/>
      <c r="AM91" s="40"/>
      <c r="AN91" s="40"/>
      <c r="AO91" s="40"/>
      <c r="AP91" s="40"/>
      <c r="AQ91" s="40"/>
      <c r="AR91" s="40"/>
      <c r="AS91" s="40"/>
      <c r="AT91" s="40"/>
    </row>
    <row r="92" spans="2:46" ht="15.6">
      <c r="C92" s="417"/>
      <c r="D92" s="417"/>
      <c r="E92" s="447"/>
      <c r="F92" s="417"/>
      <c r="H92" s="834" t="s">
        <v>58</v>
      </c>
      <c r="I92" s="835"/>
      <c r="J92" s="836" t="s">
        <v>59</v>
      </c>
      <c r="K92" s="836" t="s">
        <v>60</v>
      </c>
      <c r="L92" s="836" t="s">
        <v>61</v>
      </c>
      <c r="M92" s="847"/>
      <c r="N92" s="847" t="s">
        <v>282</v>
      </c>
      <c r="O92" s="1068" t="s">
        <v>554</v>
      </c>
      <c r="P92" s="1068" t="s">
        <v>554</v>
      </c>
      <c r="Q92" s="417"/>
      <c r="R92" s="417"/>
      <c r="S92" s="417"/>
      <c r="T92" s="417"/>
      <c r="U92" s="417"/>
      <c r="V92" s="417"/>
      <c r="W92" s="417"/>
      <c r="X92" s="417"/>
      <c r="Y92" s="417"/>
      <c r="Z92" s="417"/>
      <c r="AA92" s="417"/>
      <c r="AB92" s="417"/>
      <c r="AC92" s="417"/>
      <c r="AD92" s="417"/>
      <c r="AE92" s="417"/>
      <c r="AF92" s="417"/>
      <c r="AG92" s="417"/>
      <c r="AH92" s="40"/>
      <c r="AI92" s="40"/>
      <c r="AJ92" s="40"/>
      <c r="AK92" s="40"/>
      <c r="AL92" s="40"/>
      <c r="AM92" s="40"/>
      <c r="AN92" s="40"/>
      <c r="AO92" s="40"/>
      <c r="AP92" s="40"/>
      <c r="AQ92" s="40"/>
      <c r="AR92" s="40"/>
      <c r="AS92" s="40"/>
      <c r="AT92" s="40"/>
    </row>
    <row r="93" spans="2:46" ht="15.6">
      <c r="C93" s="1316" t="s">
        <v>54</v>
      </c>
      <c r="D93" s="1316"/>
      <c r="E93" s="853"/>
      <c r="F93" s="417"/>
      <c r="H93" s="837" t="s">
        <v>63</v>
      </c>
      <c r="I93" s="838" t="s">
        <v>64</v>
      </c>
      <c r="J93" s="839" t="s">
        <v>65</v>
      </c>
      <c r="K93" s="839" t="s">
        <v>66</v>
      </c>
      <c r="L93" s="839" t="s">
        <v>66</v>
      </c>
      <c r="M93" s="851" t="s">
        <v>129</v>
      </c>
      <c r="N93" s="851" t="s">
        <v>548</v>
      </c>
      <c r="O93" s="1069" t="s">
        <v>129</v>
      </c>
      <c r="P93" s="1069" t="s">
        <v>555</v>
      </c>
      <c r="Q93" s="417"/>
      <c r="R93" s="417"/>
      <c r="S93" s="417"/>
      <c r="T93" s="417"/>
      <c r="U93" s="417"/>
      <c r="V93" s="417"/>
      <c r="W93" s="417"/>
      <c r="X93" s="417"/>
      <c r="Y93" s="417"/>
      <c r="Z93" s="417"/>
      <c r="AA93" s="417"/>
      <c r="AB93" s="417"/>
      <c r="AC93" s="417"/>
      <c r="AD93" s="417"/>
      <c r="AE93" s="417"/>
      <c r="AF93" s="417"/>
      <c r="AG93" s="417"/>
      <c r="AH93" s="40"/>
      <c r="AI93" s="40"/>
      <c r="AJ93" s="40"/>
      <c r="AK93" s="40"/>
      <c r="AL93" s="40"/>
      <c r="AM93" s="40"/>
      <c r="AN93" s="40"/>
      <c r="AO93" s="40"/>
      <c r="AP93" s="40"/>
      <c r="AQ93" s="40"/>
      <c r="AR93" s="40"/>
      <c r="AS93" s="40"/>
      <c r="AT93" s="40"/>
    </row>
    <row r="94" spans="2:46">
      <c r="B94" s="111" t="s">
        <v>11</v>
      </c>
      <c r="C94" s="767" t="s">
        <v>55</v>
      </c>
      <c r="D94" s="768"/>
      <c r="E94" s="853"/>
      <c r="H94" s="449">
        <f>IF(H87="",D23,H87+1)</f>
        <v>42277</v>
      </c>
      <c r="I94" s="449">
        <f>D24</f>
        <v>42613</v>
      </c>
      <c r="J94" s="450">
        <f t="shared" ref="J94:K96" si="0">+J86-J87</f>
        <v>83055.72</v>
      </c>
      <c r="K94" s="450">
        <f t="shared" si="0"/>
        <v>6152.27</v>
      </c>
      <c r="L94" s="450">
        <f>L86-L87</f>
        <v>0</v>
      </c>
      <c r="M94" s="1045">
        <f>J94-L94-K94</f>
        <v>76903.45</v>
      </c>
      <c r="N94" s="1045">
        <f>K94</f>
        <v>6152.27</v>
      </c>
      <c r="O94" s="1081">
        <f>M94+J103</f>
        <v>76903.45</v>
      </c>
      <c r="P94" s="1081">
        <f>N94+J104</f>
        <v>6152.27</v>
      </c>
      <c r="Q94" s="417"/>
      <c r="R94" s="417"/>
      <c r="S94" s="417"/>
      <c r="T94" s="417"/>
      <c r="U94" s="417"/>
      <c r="V94" s="417"/>
      <c r="W94" s="417"/>
      <c r="X94" s="417"/>
      <c r="Y94" s="417"/>
      <c r="Z94" s="417"/>
      <c r="AA94" s="417"/>
      <c r="AB94" s="417"/>
      <c r="AC94" s="417"/>
      <c r="AD94" s="417"/>
      <c r="AE94" s="417"/>
      <c r="AF94" s="417"/>
      <c r="AG94" s="417"/>
      <c r="AH94" s="40"/>
      <c r="AI94" s="40"/>
      <c r="AJ94" s="40"/>
      <c r="AK94" s="40"/>
      <c r="AL94" s="40"/>
      <c r="AM94" s="40"/>
      <c r="AN94" s="40"/>
      <c r="AO94" s="40"/>
      <c r="AP94" s="40"/>
      <c r="AQ94" s="40"/>
      <c r="AR94" s="40"/>
      <c r="AS94" s="40"/>
      <c r="AT94" s="40"/>
    </row>
    <row r="95" spans="2:46">
      <c r="B95" s="111" t="s">
        <v>11</v>
      </c>
      <c r="C95" s="767" t="s">
        <v>56</v>
      </c>
      <c r="D95" s="768"/>
      <c r="E95" s="853"/>
      <c r="H95" s="451" t="str">
        <f>IF(H94&gt;$D$23,(IF( H88="",$D$23,H88+1)),"")</f>
        <v/>
      </c>
      <c r="I95" s="451" t="str">
        <f>IF(H95="","",H94-1)</f>
        <v/>
      </c>
      <c r="J95" s="450">
        <f>+J87-J88</f>
        <v>0</v>
      </c>
      <c r="K95" s="450">
        <f t="shared" si="0"/>
        <v>0</v>
      </c>
      <c r="L95" s="450">
        <f>L87-L88</f>
        <v>0</v>
      </c>
      <c r="M95" s="1045">
        <f>J95-L95-K95</f>
        <v>0</v>
      </c>
      <c r="N95" s="1045">
        <f t="shared" ref="N95:N97" si="1">K95</f>
        <v>0</v>
      </c>
      <c r="O95" s="1081">
        <f>M95+J108</f>
        <v>0</v>
      </c>
      <c r="P95" s="1081">
        <f>N95+J109</f>
        <v>0</v>
      </c>
      <c r="Q95" s="417"/>
      <c r="R95" s="417"/>
      <c r="S95" s="417"/>
      <c r="T95" s="417"/>
      <c r="U95" s="417"/>
      <c r="V95" s="417"/>
      <c r="W95" s="417"/>
      <c r="X95" s="417"/>
      <c r="Y95" s="417"/>
      <c r="Z95" s="417"/>
      <c r="AA95" s="417"/>
      <c r="AB95" s="417"/>
      <c r="AC95" s="417"/>
      <c r="AD95" s="417"/>
      <c r="AE95" s="417"/>
      <c r="AF95" s="417"/>
      <c r="AG95" s="417"/>
      <c r="AH95" s="40"/>
      <c r="AI95" s="40"/>
      <c r="AJ95" s="40"/>
      <c r="AK95" s="40"/>
      <c r="AL95" s="40"/>
      <c r="AM95" s="40"/>
      <c r="AN95" s="40"/>
      <c r="AO95" s="40"/>
      <c r="AP95" s="40"/>
      <c r="AQ95" s="40"/>
      <c r="AR95" s="40"/>
      <c r="AS95" s="40"/>
      <c r="AT95" s="40"/>
    </row>
    <row r="96" spans="2:46">
      <c r="B96" s="111" t="s">
        <v>11</v>
      </c>
      <c r="C96" s="767" t="s">
        <v>57</v>
      </c>
      <c r="D96" s="768"/>
      <c r="E96" s="111" t="s">
        <v>551</v>
      </c>
      <c r="H96" s="451" t="str">
        <f>IF(H95="","",(IF(H95&gt;$D$23,(IF( H89="",$D$23,H89+1)),"")))</f>
        <v/>
      </c>
      <c r="I96" s="451" t="str">
        <f>IF(H96="","",H95-1)</f>
        <v/>
      </c>
      <c r="J96" s="450">
        <f t="shared" si="0"/>
        <v>0</v>
      </c>
      <c r="K96" s="450">
        <f t="shared" si="0"/>
        <v>0</v>
      </c>
      <c r="L96" s="450">
        <f>L88-L89</f>
        <v>0</v>
      </c>
      <c r="M96" s="1045">
        <f>J96-L96-K96</f>
        <v>0</v>
      </c>
      <c r="N96" s="1045">
        <f t="shared" si="1"/>
        <v>0</v>
      </c>
      <c r="O96" s="1081">
        <f>M96+L103</f>
        <v>0</v>
      </c>
      <c r="P96" s="1081">
        <f>N96+L104</f>
        <v>0</v>
      </c>
      <c r="Q96" s="417"/>
      <c r="R96" s="417"/>
      <c r="S96" s="417"/>
      <c r="T96" s="417"/>
      <c r="U96" s="417"/>
      <c r="V96" s="417"/>
      <c r="W96" s="417"/>
      <c r="X96" s="417"/>
      <c r="Y96" s="417"/>
      <c r="Z96" s="417"/>
      <c r="AA96" s="417"/>
      <c r="AB96" s="417"/>
      <c r="AC96" s="417"/>
      <c r="AD96" s="417"/>
      <c r="AE96" s="417"/>
      <c r="AF96" s="417"/>
      <c r="AG96" s="417"/>
      <c r="AH96" s="40"/>
      <c r="AI96" s="40"/>
      <c r="AJ96" s="40"/>
      <c r="AK96" s="40"/>
      <c r="AL96" s="40"/>
      <c r="AM96" s="40"/>
      <c r="AN96" s="40"/>
      <c r="AO96" s="40"/>
      <c r="AP96" s="40"/>
      <c r="AQ96" s="40"/>
      <c r="AR96" s="40"/>
      <c r="AS96" s="40"/>
      <c r="AT96" s="40"/>
    </row>
    <row r="97" spans="2:46">
      <c r="B97" s="111" t="s">
        <v>11</v>
      </c>
      <c r="C97" s="767" t="s">
        <v>62</v>
      </c>
      <c r="D97" s="768"/>
      <c r="E97" s="111"/>
      <c r="H97" s="451" t="str">
        <f>IF(H96="","",(IF(H96&gt;$D$23,(IF(H90= "",$D$23,H90+1)),"")))</f>
        <v/>
      </c>
      <c r="I97" s="451" t="str">
        <f>IF(H97="","",H96-1)</f>
        <v/>
      </c>
      <c r="J97" s="450">
        <f>+J89-J90</f>
        <v>0</v>
      </c>
      <c r="K97" s="450">
        <f>+K89-K90</f>
        <v>0</v>
      </c>
      <c r="L97" s="450">
        <f>L89-L90</f>
        <v>0</v>
      </c>
      <c r="M97" s="1045">
        <f t="shared" ref="M97" si="2">J97-L97</f>
        <v>0</v>
      </c>
      <c r="N97" s="1045">
        <f t="shared" si="1"/>
        <v>0</v>
      </c>
      <c r="O97" s="1081">
        <f>M97+L108</f>
        <v>0</v>
      </c>
      <c r="P97" s="1081">
        <f>N97+L109</f>
        <v>0</v>
      </c>
      <c r="Q97" s="417"/>
      <c r="R97" s="417"/>
      <c r="S97" s="417"/>
      <c r="T97" s="417"/>
      <c r="U97" s="417"/>
      <c r="V97" s="417"/>
      <c r="W97" s="417"/>
      <c r="X97" s="417"/>
      <c r="Y97" s="417"/>
      <c r="Z97" s="417"/>
      <c r="AA97" s="417"/>
      <c r="AB97" s="417"/>
      <c r="AC97" s="417"/>
      <c r="AD97" s="417"/>
      <c r="AE97" s="417"/>
      <c r="AF97" s="417"/>
      <c r="AG97" s="417"/>
      <c r="AH97" s="40"/>
      <c r="AI97" s="40"/>
      <c r="AJ97" s="40"/>
      <c r="AK97" s="40"/>
      <c r="AL97" s="40"/>
      <c r="AM97" s="40"/>
      <c r="AN97" s="40"/>
      <c r="AO97" s="40"/>
      <c r="AP97" s="40"/>
      <c r="AQ97" s="40"/>
      <c r="AR97" s="40"/>
      <c r="AS97" s="40"/>
      <c r="AT97" s="40"/>
    </row>
    <row r="98" spans="2:46">
      <c r="B98" s="111" t="s">
        <v>11</v>
      </c>
      <c r="C98" s="767" t="s">
        <v>67</v>
      </c>
      <c r="D98" s="768"/>
      <c r="E98" s="853" t="s">
        <v>535</v>
      </c>
      <c r="H98" s="40"/>
      <c r="I98" s="40"/>
      <c r="J98" s="450">
        <f t="shared" ref="J98:P98" si="3">SUM(J94:J97)</f>
        <v>83055.72</v>
      </c>
      <c r="K98" s="450">
        <f t="shared" si="3"/>
        <v>6152.27</v>
      </c>
      <c r="L98" s="450">
        <f t="shared" si="3"/>
        <v>0</v>
      </c>
      <c r="M98" s="1045">
        <f t="shared" si="3"/>
        <v>76903.45</v>
      </c>
      <c r="N98" s="1045">
        <f t="shared" si="3"/>
        <v>6152.27</v>
      </c>
      <c r="O98" s="1099">
        <f t="shared" si="3"/>
        <v>76903.45</v>
      </c>
      <c r="P98" s="1099">
        <f t="shared" si="3"/>
        <v>6152.27</v>
      </c>
      <c r="Q98" s="417"/>
      <c r="R98" s="417"/>
      <c r="S98" s="417"/>
      <c r="T98" s="417"/>
      <c r="U98" s="417"/>
      <c r="V98" s="417"/>
      <c r="W98" s="417"/>
      <c r="X98" s="417"/>
      <c r="Y98" s="417"/>
      <c r="Z98" s="417"/>
      <c r="AA98" s="417"/>
      <c r="AB98" s="417"/>
      <c r="AC98" s="417"/>
      <c r="AD98" s="417"/>
      <c r="AE98" s="417"/>
      <c r="AF98" s="417"/>
      <c r="AG98" s="417"/>
      <c r="AH98" s="40"/>
      <c r="AI98" s="40"/>
      <c r="AJ98" s="40"/>
      <c r="AK98" s="40"/>
      <c r="AL98" s="40"/>
      <c r="AM98" s="40"/>
      <c r="AN98" s="40"/>
      <c r="AO98" s="40"/>
      <c r="AP98" s="40"/>
      <c r="AQ98" s="40"/>
      <c r="AR98" s="40"/>
      <c r="AS98" s="40"/>
      <c r="AT98" s="40"/>
    </row>
    <row r="99" spans="2:46">
      <c r="C99" s="769" t="s">
        <v>68</v>
      </c>
      <c r="D99" s="770">
        <f>SUM(D94:D98)</f>
        <v>0</v>
      </c>
      <c r="E99" s="853" t="s">
        <v>531</v>
      </c>
      <c r="M99" s="98"/>
      <c r="N99" s="98"/>
      <c r="O99" s="98"/>
      <c r="P99" s="417"/>
      <c r="Q99" s="417"/>
      <c r="R99" s="417"/>
      <c r="S99" s="417"/>
      <c r="T99" s="417"/>
      <c r="U99" s="417"/>
      <c r="V99" s="417"/>
      <c r="W99" s="417"/>
      <c r="X99" s="417"/>
      <c r="Y99" s="417"/>
      <c r="Z99" s="417"/>
      <c r="AA99" s="417"/>
      <c r="AB99" s="417"/>
      <c r="AC99" s="417"/>
      <c r="AD99" s="417"/>
      <c r="AE99" s="417"/>
      <c r="AF99" s="417"/>
      <c r="AG99" s="417"/>
      <c r="AH99" s="40"/>
      <c r="AI99" s="40"/>
      <c r="AJ99" s="40"/>
      <c r="AK99" s="40"/>
      <c r="AL99" s="40"/>
      <c r="AM99" s="40"/>
      <c r="AN99" s="40"/>
      <c r="AO99" s="40"/>
      <c r="AP99" s="40"/>
      <c r="AQ99" s="40"/>
      <c r="AR99" s="40"/>
      <c r="AS99" s="40"/>
      <c r="AT99" s="40"/>
    </row>
    <row r="100" spans="2:46" ht="15.75" customHeight="1">
      <c r="C100" s="417"/>
      <c r="D100" s="417"/>
      <c r="E100" s="452"/>
      <c r="F100" s="417"/>
      <c r="G100" s="417"/>
      <c r="H100" s="417" t="str">
        <f>IF(Input!E144&lt;&gt;0,"Add PY IDC Rate, Period, Base, Amount Charged and total EXEMPTIONS"," ")</f>
        <v xml:space="preserve"> </v>
      </c>
      <c r="P100" s="417"/>
      <c r="Q100" s="417"/>
      <c r="R100" s="417"/>
      <c r="S100" s="417"/>
      <c r="T100" s="417"/>
      <c r="U100" s="417"/>
      <c r="V100" s="417"/>
      <c r="W100" s="417"/>
      <c r="X100" s="417"/>
      <c r="Y100" s="417"/>
      <c r="Z100" s="417"/>
      <c r="AA100" s="417"/>
      <c r="AB100" s="417"/>
      <c r="AC100" s="417"/>
      <c r="AD100" s="417"/>
      <c r="AE100" s="417"/>
      <c r="AF100" s="417"/>
      <c r="AG100" s="417"/>
      <c r="AH100" s="40"/>
      <c r="AI100" s="40"/>
      <c r="AJ100" s="40"/>
      <c r="AK100" s="40"/>
      <c r="AL100" s="40"/>
      <c r="AM100" s="40"/>
      <c r="AN100" s="40"/>
      <c r="AO100" s="40"/>
      <c r="AP100" s="40"/>
      <c r="AQ100" s="40"/>
      <c r="AR100" s="40"/>
      <c r="AS100" s="40"/>
      <c r="AT100" s="40"/>
    </row>
    <row r="101" spans="2:46" ht="18.75" customHeight="1">
      <c r="C101" s="771" t="s">
        <v>519</v>
      </c>
      <c r="D101" s="460"/>
      <c r="E101" s="772">
        <f>+D96+D97</f>
        <v>0</v>
      </c>
      <c r="F101" s="417"/>
      <c r="G101" s="417"/>
      <c r="H101" s="1093" t="s">
        <v>563</v>
      </c>
      <c r="I101" s="1091"/>
      <c r="J101" s="1091"/>
      <c r="K101" s="1091"/>
      <c r="L101" s="1092"/>
      <c r="P101" s="417"/>
      <c r="Q101" s="417"/>
      <c r="R101" s="417"/>
      <c r="S101" s="417"/>
      <c r="T101" s="417"/>
      <c r="U101" s="417"/>
      <c r="V101" s="417"/>
      <c r="W101" s="417"/>
      <c r="X101" s="417"/>
      <c r="Y101" s="417"/>
      <c r="Z101" s="417"/>
      <c r="AA101" s="417"/>
      <c r="AB101" s="417"/>
      <c r="AC101" s="417"/>
      <c r="AD101" s="417"/>
      <c r="AE101" s="417"/>
      <c r="AF101" s="417"/>
      <c r="AG101" s="417"/>
      <c r="AH101" s="40"/>
      <c r="AI101" s="40"/>
      <c r="AJ101" s="40"/>
      <c r="AK101" s="40"/>
      <c r="AL101" s="40"/>
      <c r="AM101" s="40"/>
      <c r="AN101" s="40"/>
      <c r="AO101" s="40"/>
      <c r="AP101" s="40"/>
      <c r="AQ101" s="40"/>
      <c r="AR101" s="40"/>
      <c r="AS101" s="40"/>
      <c r="AT101" s="40"/>
    </row>
    <row r="102" spans="2:46">
      <c r="C102" s="771" t="s">
        <v>69</v>
      </c>
      <c r="D102" s="460"/>
      <c r="E102" s="772">
        <f>+D94+D95</f>
        <v>0</v>
      </c>
      <c r="F102" s="417"/>
      <c r="G102" s="417"/>
      <c r="H102" s="1071"/>
      <c r="I102" s="1076" t="s">
        <v>556</v>
      </c>
      <c r="J102" s="1078"/>
      <c r="K102" s="1076" t="s">
        <v>556</v>
      </c>
      <c r="L102" s="1080"/>
      <c r="P102" s="417"/>
      <c r="Q102" s="417"/>
      <c r="R102" s="417"/>
      <c r="S102" s="417"/>
      <c r="T102" s="417"/>
      <c r="U102" s="417"/>
      <c r="V102" s="417"/>
      <c r="W102" s="417"/>
      <c r="X102" s="417"/>
      <c r="Y102" s="417"/>
      <c r="Z102" s="417"/>
      <c r="AA102" s="417"/>
      <c r="AB102" s="417"/>
      <c r="AC102" s="417"/>
      <c r="AD102" s="417"/>
      <c r="AE102" s="417"/>
      <c r="AF102" s="417"/>
      <c r="AG102" s="417"/>
      <c r="AH102" s="40"/>
      <c r="AI102" s="40"/>
      <c r="AJ102" s="40"/>
      <c r="AK102" s="40"/>
      <c r="AL102" s="40"/>
      <c r="AM102" s="40"/>
      <c r="AN102" s="40"/>
      <c r="AO102" s="40"/>
      <c r="AP102" s="40"/>
      <c r="AQ102" s="40"/>
      <c r="AR102" s="40"/>
      <c r="AS102" s="40"/>
      <c r="AT102" s="40"/>
    </row>
    <row r="103" spans="2:46" ht="15.6">
      <c r="C103" s="417"/>
      <c r="D103" s="417"/>
      <c r="E103" s="452"/>
      <c r="F103" s="417"/>
      <c r="G103" s="417"/>
      <c r="H103" s="1071"/>
      <c r="I103" s="1076" t="str">
        <f>MID($D$8,62,8) &amp; " Rate #1 Base"</f>
        <v xml:space="preserve"> Rate #1 Base</v>
      </c>
      <c r="J103" s="1089">
        <v>0</v>
      </c>
      <c r="K103" s="1076" t="str">
        <f>MID($D$8,62,8) &amp; " Rate #3 Base"</f>
        <v xml:space="preserve"> Rate #3 Base</v>
      </c>
      <c r="L103" s="1090">
        <v>0</v>
      </c>
      <c r="M103" s="40"/>
      <c r="P103" s="417"/>
      <c r="Q103" s="417"/>
      <c r="R103" s="417"/>
      <c r="S103" s="417"/>
      <c r="T103" s="417"/>
      <c r="U103" s="417"/>
      <c r="V103" s="417"/>
      <c r="W103" s="417"/>
      <c r="X103" s="417"/>
      <c r="Y103" s="417"/>
      <c r="Z103" s="417"/>
      <c r="AA103" s="417"/>
      <c r="AB103" s="417"/>
      <c r="AC103" s="417"/>
      <c r="AD103" s="417"/>
      <c r="AE103" s="417"/>
      <c r="AF103" s="417"/>
      <c r="AG103" s="417"/>
      <c r="AH103" s="40"/>
      <c r="AI103" s="40"/>
      <c r="AJ103" s="40"/>
      <c r="AK103" s="40"/>
      <c r="AL103" s="40"/>
      <c r="AM103" s="40"/>
      <c r="AN103" s="40"/>
      <c r="AO103" s="40"/>
      <c r="AP103" s="40"/>
      <c r="AQ103" s="40"/>
      <c r="AR103" s="40"/>
      <c r="AS103" s="40"/>
      <c r="AT103" s="40"/>
    </row>
    <row r="104" spans="2:46" ht="15.6">
      <c r="C104" s="1316" t="s">
        <v>473</v>
      </c>
      <c r="D104" s="1316"/>
      <c r="E104" s="447"/>
      <c r="H104" s="1071"/>
      <c r="I104" s="1076" t="str">
        <f>MID($D$8,62,8) &amp; " Rate #1 IDC Charged"</f>
        <v xml:space="preserve"> Rate #1 IDC Charged</v>
      </c>
      <c r="J104" s="1089">
        <v>0</v>
      </c>
      <c r="K104" s="1072" t="str">
        <f>MID($D$8,62,8) &amp; " Rate #3 IDC Charged"</f>
        <v xml:space="preserve"> Rate #3 IDC Charged</v>
      </c>
      <c r="L104" s="1090">
        <v>0</v>
      </c>
      <c r="M104" s="40"/>
      <c r="P104" s="417"/>
      <c r="Q104" s="417"/>
      <c r="R104" s="417"/>
      <c r="S104" s="417"/>
      <c r="T104" s="417"/>
      <c r="U104" s="417"/>
      <c r="V104" s="417"/>
      <c r="W104" s="417"/>
      <c r="X104" s="417"/>
      <c r="Y104" s="417"/>
      <c r="Z104" s="417"/>
      <c r="AA104" s="417"/>
      <c r="AB104" s="417"/>
      <c r="AC104" s="417"/>
      <c r="AD104" s="417"/>
      <c r="AE104" s="417"/>
      <c r="AF104" s="417"/>
      <c r="AG104" s="417"/>
      <c r="AH104" s="40"/>
      <c r="AI104" s="40"/>
      <c r="AJ104" s="40"/>
      <c r="AK104" s="40"/>
      <c r="AL104" s="40"/>
      <c r="AM104" s="40"/>
      <c r="AN104" s="40"/>
      <c r="AO104" s="40"/>
      <c r="AP104" s="40"/>
      <c r="AQ104" s="40"/>
      <c r="AR104" s="40"/>
      <c r="AS104" s="40"/>
      <c r="AT104" s="40"/>
    </row>
    <row r="105" spans="2:46">
      <c r="C105" s="773" t="s">
        <v>471</v>
      </c>
      <c r="D105" s="774">
        <f>'FA Rec'!U7</f>
        <v>109867</v>
      </c>
      <c r="E105" s="853" t="s">
        <v>538</v>
      </c>
      <c r="H105" s="1071"/>
      <c r="I105" s="98"/>
      <c r="J105" s="98"/>
      <c r="K105" s="1085" t="s">
        <v>561</v>
      </c>
      <c r="L105" s="1087"/>
      <c r="M105" s="40"/>
      <c r="P105" s="417"/>
      <c r="Q105" s="417"/>
      <c r="R105" s="417"/>
      <c r="S105" s="417"/>
      <c r="T105" s="417"/>
      <c r="U105" s="417"/>
      <c r="V105" s="417"/>
      <c r="W105" s="417"/>
      <c r="X105" s="417"/>
      <c r="Y105" s="417"/>
      <c r="Z105" s="417"/>
      <c r="AA105" s="417"/>
      <c r="AB105" s="417"/>
      <c r="AC105" s="417"/>
      <c r="AD105" s="417"/>
      <c r="AE105" s="417"/>
      <c r="AF105" s="417"/>
      <c r="AG105" s="417"/>
      <c r="AH105" s="40"/>
      <c r="AI105" s="40"/>
      <c r="AJ105" s="40"/>
      <c r="AK105" s="40"/>
      <c r="AL105" s="40"/>
      <c r="AM105" s="40"/>
      <c r="AN105" s="40"/>
      <c r="AO105" s="40"/>
      <c r="AP105" s="40"/>
      <c r="AQ105" s="40"/>
      <c r="AR105" s="40"/>
      <c r="AS105" s="40"/>
      <c r="AT105" s="40"/>
    </row>
    <row r="106" spans="2:46">
      <c r="C106" s="453"/>
      <c r="D106" s="454"/>
      <c r="E106" s="447"/>
      <c r="H106" s="1071"/>
      <c r="I106" s="98"/>
      <c r="J106" s="98"/>
      <c r="K106" s="98"/>
      <c r="L106" s="1083"/>
      <c r="M106" s="40"/>
      <c r="P106" s="417"/>
      <c r="Q106" s="417"/>
      <c r="R106" s="417"/>
      <c r="S106" s="417"/>
      <c r="T106" s="417"/>
      <c r="U106" s="417"/>
      <c r="V106" s="417"/>
      <c r="W106" s="417"/>
      <c r="X106" s="417"/>
      <c r="Y106" s="417"/>
      <c r="Z106" s="417"/>
      <c r="AA106" s="417"/>
      <c r="AB106" s="417"/>
      <c r="AC106" s="417"/>
      <c r="AD106" s="417"/>
      <c r="AE106" s="417"/>
      <c r="AF106" s="417"/>
      <c r="AG106" s="417"/>
      <c r="AH106" s="40"/>
      <c r="AI106" s="40"/>
      <c r="AJ106" s="40"/>
      <c r="AK106" s="40"/>
      <c r="AL106" s="40"/>
      <c r="AM106" s="40"/>
      <c r="AN106" s="40"/>
      <c r="AO106" s="40"/>
      <c r="AP106" s="40"/>
      <c r="AQ106" s="40"/>
      <c r="AR106" s="40"/>
      <c r="AS106" s="40"/>
      <c r="AT106" s="40"/>
    </row>
    <row r="107" spans="2:46" ht="15.6">
      <c r="C107" s="1316" t="s">
        <v>514</v>
      </c>
      <c r="D107" s="1316"/>
      <c r="E107" s="447"/>
      <c r="H107" s="1071"/>
      <c r="I107" s="1076" t="s">
        <v>556</v>
      </c>
      <c r="J107" s="1078"/>
      <c r="K107" s="1076" t="s">
        <v>556</v>
      </c>
      <c r="L107" s="1080"/>
      <c r="M107" s="40"/>
      <c r="P107" s="417"/>
      <c r="Q107" s="417"/>
      <c r="R107" s="417"/>
      <c r="S107" s="417"/>
      <c r="T107" s="417"/>
      <c r="U107" s="417"/>
      <c r="V107" s="417"/>
      <c r="W107" s="417"/>
      <c r="X107" s="417"/>
      <c r="Y107" s="417"/>
      <c r="Z107" s="417"/>
      <c r="AA107" s="417"/>
      <c r="AB107" s="417"/>
      <c r="AC107" s="417"/>
      <c r="AD107" s="417"/>
      <c r="AE107" s="417"/>
      <c r="AF107" s="417"/>
      <c r="AG107" s="417"/>
      <c r="AH107" s="40"/>
      <c r="AI107" s="40"/>
      <c r="AJ107" s="40"/>
      <c r="AK107" s="40"/>
      <c r="AL107" s="40"/>
      <c r="AM107" s="40"/>
      <c r="AN107" s="40"/>
      <c r="AO107" s="40"/>
      <c r="AP107" s="40"/>
      <c r="AQ107" s="40"/>
      <c r="AR107" s="40"/>
      <c r="AS107" s="40"/>
      <c r="AT107" s="40"/>
    </row>
    <row r="108" spans="2:46">
      <c r="C108" s="76" t="s">
        <v>70</v>
      </c>
      <c r="D108" s="780">
        <f>'FA Rec'!U9</f>
        <v>101729</v>
      </c>
      <c r="E108" s="418"/>
      <c r="F108" s="416" t="s">
        <v>11</v>
      </c>
      <c r="H108" s="1071"/>
      <c r="I108" s="1076" t="str">
        <f>MID($D$8,62,8) &amp; " Rate #2 Base"</f>
        <v xml:space="preserve"> Rate #2 Base</v>
      </c>
      <c r="J108" s="1089">
        <v>0</v>
      </c>
      <c r="K108" s="1076" t="str">
        <f>MID($D$8,62,8) &amp; " Rate #4 Base"</f>
        <v xml:space="preserve"> Rate #4 Base</v>
      </c>
      <c r="L108" s="1090">
        <v>0</v>
      </c>
      <c r="P108" s="417"/>
      <c r="Q108" s="417"/>
      <c r="R108" s="417"/>
      <c r="S108" s="417"/>
      <c r="T108" s="417"/>
      <c r="U108" s="417"/>
      <c r="V108" s="417"/>
      <c r="W108" s="417"/>
      <c r="X108" s="417"/>
      <c r="Y108" s="417"/>
      <c r="Z108" s="417"/>
      <c r="AA108" s="417"/>
      <c r="AB108" s="417"/>
      <c r="AC108" s="417"/>
      <c r="AD108" s="417"/>
      <c r="AE108" s="417"/>
      <c r="AF108" s="417"/>
      <c r="AG108" s="417"/>
      <c r="AH108" s="40"/>
      <c r="AI108" s="40"/>
      <c r="AJ108" s="40"/>
      <c r="AK108" s="40"/>
      <c r="AL108" s="40"/>
      <c r="AM108" s="40"/>
      <c r="AN108" s="40"/>
      <c r="AO108" s="40"/>
      <c r="AP108" s="40"/>
      <c r="AQ108" s="40"/>
      <c r="AR108" s="40"/>
      <c r="AS108" s="40"/>
      <c r="AT108" s="40"/>
    </row>
    <row r="109" spans="2:46">
      <c r="C109" s="76" t="s">
        <v>71</v>
      </c>
      <c r="D109" s="780">
        <f>'FA Rec'!U10</f>
        <v>8138</v>
      </c>
      <c r="E109" s="447"/>
      <c r="H109" s="1071"/>
      <c r="I109" s="1076" t="str">
        <f>MID($D$8,62,8) &amp; " Rate #2 IDC Charged"</f>
        <v xml:space="preserve"> Rate #2 IDC Charged</v>
      </c>
      <c r="J109" s="1089">
        <v>0</v>
      </c>
      <c r="K109" s="1072" t="str">
        <f>MID($D$8,62,8) &amp; " Rate #4 IDC Charged"</f>
        <v xml:space="preserve"> Rate #4 IDC Charged</v>
      </c>
      <c r="L109" s="1090">
        <v>0</v>
      </c>
      <c r="P109" s="417"/>
      <c r="Q109" s="417"/>
      <c r="R109" s="417"/>
      <c r="S109" s="417"/>
      <c r="T109" s="417"/>
      <c r="U109" s="417"/>
      <c r="V109" s="417"/>
      <c r="W109" s="417"/>
      <c r="X109" s="417"/>
      <c r="Y109" s="417"/>
      <c r="Z109" s="417"/>
      <c r="AA109" s="417"/>
      <c r="AB109" s="417"/>
      <c r="AC109" s="417"/>
      <c r="AD109" s="417"/>
      <c r="AE109" s="417"/>
      <c r="AF109" s="417"/>
      <c r="AG109" s="417"/>
      <c r="AH109" s="40"/>
      <c r="AI109" s="40"/>
      <c r="AJ109" s="40"/>
      <c r="AK109" s="40"/>
      <c r="AL109" s="40"/>
      <c r="AM109" s="40"/>
      <c r="AN109" s="40"/>
      <c r="AO109" s="40"/>
      <c r="AP109" s="40"/>
      <c r="AQ109" s="40"/>
      <c r="AR109" s="40"/>
      <c r="AS109" s="40"/>
      <c r="AT109" s="40"/>
    </row>
    <row r="110" spans="2:46">
      <c r="C110" s="767" t="s">
        <v>72</v>
      </c>
      <c r="D110" s="460">
        <f>SUM(D108:D109)</f>
        <v>109867</v>
      </c>
      <c r="E110" s="447"/>
      <c r="H110" s="1071"/>
      <c r="I110" s="1085" t="s">
        <v>562</v>
      </c>
      <c r="J110" s="1086"/>
      <c r="K110" s="1085" t="s">
        <v>561</v>
      </c>
      <c r="L110" s="1088"/>
      <c r="P110" s="417"/>
      <c r="Q110" s="417"/>
      <c r="R110" s="417"/>
      <c r="S110" s="417"/>
      <c r="T110" s="417"/>
      <c r="U110" s="417"/>
      <c r="V110" s="417"/>
      <c r="W110" s="417"/>
      <c r="X110" s="417"/>
      <c r="Y110" s="417"/>
      <c r="Z110" s="417"/>
      <c r="AA110" s="417"/>
      <c r="AB110" s="417"/>
      <c r="AC110" s="417"/>
      <c r="AD110" s="417"/>
      <c r="AE110" s="417"/>
      <c r="AF110" s="417"/>
      <c r="AG110" s="417"/>
      <c r="AH110" s="40"/>
      <c r="AI110" s="40"/>
      <c r="AJ110" s="40"/>
      <c r="AK110" s="40"/>
      <c r="AL110" s="40"/>
      <c r="AM110" s="40"/>
      <c r="AN110" s="40"/>
      <c r="AO110" s="40"/>
      <c r="AP110" s="40"/>
      <c r="AQ110" s="40"/>
      <c r="AR110" s="40"/>
      <c r="AS110" s="40"/>
      <c r="AT110" s="40"/>
    </row>
    <row r="111" spans="2:46">
      <c r="C111" s="76" t="s">
        <v>472</v>
      </c>
      <c r="D111" s="768"/>
      <c r="E111" s="452"/>
      <c r="H111" s="1084" t="str">
        <f>IF(J110&gt;0%,"Only use RATE (%) fields if current budget does NOT have a rate type that matches"," ")</f>
        <v xml:space="preserve"> </v>
      </c>
      <c r="I111" s="98"/>
      <c r="J111" s="98"/>
      <c r="K111" s="98"/>
      <c r="L111" s="1083"/>
      <c r="P111" s="417"/>
      <c r="Q111" s="417"/>
      <c r="R111" s="417"/>
      <c r="S111" s="417"/>
      <c r="T111" s="417"/>
      <c r="U111" s="417"/>
      <c r="V111" s="417"/>
      <c r="W111" s="417"/>
      <c r="X111" s="417"/>
      <c r="Y111" s="417"/>
      <c r="Z111" s="417"/>
      <c r="AA111" s="417"/>
      <c r="AB111" s="417"/>
      <c r="AC111" s="417"/>
      <c r="AD111" s="417"/>
      <c r="AE111" s="417"/>
      <c r="AF111" s="417"/>
      <c r="AG111" s="417"/>
      <c r="AH111" s="40"/>
      <c r="AI111" s="40"/>
      <c r="AJ111" s="40"/>
      <c r="AK111" s="40"/>
      <c r="AL111" s="40"/>
      <c r="AM111" s="40"/>
      <c r="AN111" s="40"/>
      <c r="AO111" s="40"/>
      <c r="AP111" s="40"/>
      <c r="AQ111" s="40"/>
      <c r="AR111" s="40"/>
      <c r="AS111" s="40"/>
      <c r="AT111" s="40"/>
    </row>
    <row r="112" spans="2:46">
      <c r="C112" s="76" t="s">
        <v>73</v>
      </c>
      <c r="D112" s="460">
        <f>D110-D111</f>
        <v>109867</v>
      </c>
      <c r="E112" s="452"/>
      <c r="H112" s="1073"/>
      <c r="I112" s="1077" t="str">
        <f>MID($D$8,62,8) &amp; " EXEMPTIONS"</f>
        <v xml:space="preserve"> EXEMPTIONS</v>
      </c>
      <c r="J112" s="1079">
        <v>0</v>
      </c>
      <c r="K112" s="1074"/>
      <c r="L112" s="1075"/>
      <c r="P112" s="417"/>
      <c r="Q112" s="417"/>
      <c r="R112" s="417"/>
      <c r="S112" s="417"/>
      <c r="T112" s="417"/>
      <c r="U112" s="417"/>
      <c r="V112" s="417"/>
      <c r="W112" s="417"/>
      <c r="X112" s="417"/>
      <c r="Y112" s="417"/>
      <c r="Z112" s="417"/>
      <c r="AA112" s="417"/>
      <c r="AB112" s="417"/>
      <c r="AC112" s="417"/>
      <c r="AD112" s="417"/>
      <c r="AE112" s="417"/>
      <c r="AF112" s="417"/>
      <c r="AG112" s="417"/>
      <c r="AH112" s="40"/>
      <c r="AI112" s="40"/>
      <c r="AJ112" s="40"/>
      <c r="AK112" s="40"/>
      <c r="AL112" s="40"/>
      <c r="AM112" s="40"/>
      <c r="AN112" s="40"/>
      <c r="AO112" s="40"/>
      <c r="AP112" s="40"/>
      <c r="AQ112" s="40"/>
      <c r="AR112" s="40"/>
      <c r="AS112" s="40"/>
      <c r="AT112" s="40"/>
    </row>
    <row r="113" spans="3:46">
      <c r="C113" s="105"/>
      <c r="D113" s="422"/>
      <c r="E113" s="452"/>
      <c r="P113" s="417"/>
      <c r="Q113" s="417"/>
      <c r="R113" s="417"/>
      <c r="S113" s="417"/>
      <c r="T113" s="417"/>
      <c r="U113" s="417"/>
      <c r="V113" s="417"/>
      <c r="W113" s="417"/>
      <c r="X113" s="417"/>
      <c r="Y113" s="417"/>
      <c r="Z113" s="417"/>
      <c r="AA113" s="417"/>
      <c r="AB113" s="417"/>
      <c r="AC113" s="417"/>
      <c r="AD113" s="417"/>
      <c r="AE113" s="417"/>
      <c r="AF113" s="417"/>
      <c r="AG113" s="417"/>
      <c r="AH113" s="40"/>
      <c r="AI113" s="40"/>
      <c r="AJ113" s="40"/>
      <c r="AK113" s="40"/>
      <c r="AL113" s="40"/>
      <c r="AM113" s="40"/>
      <c r="AN113" s="40"/>
      <c r="AO113" s="40"/>
      <c r="AP113" s="40"/>
      <c r="AQ113" s="40"/>
      <c r="AR113" s="40"/>
      <c r="AS113" s="40"/>
      <c r="AT113" s="40"/>
    </row>
    <row r="114" spans="3:46" ht="15.6">
      <c r="C114" s="781" t="s">
        <v>74</v>
      </c>
      <c r="D114" s="781" t="s">
        <v>75</v>
      </c>
      <c r="E114" s="781" t="s">
        <v>76</v>
      </c>
      <c r="L114" s="417"/>
      <c r="M114" s="417"/>
      <c r="P114" s="417"/>
      <c r="Q114" s="417"/>
      <c r="R114" s="417"/>
      <c r="S114" s="417"/>
      <c r="T114" s="417"/>
      <c r="U114" s="417"/>
      <c r="V114" s="417"/>
      <c r="W114" s="417"/>
      <c r="X114" s="417"/>
      <c r="Y114" s="417"/>
      <c r="Z114" s="417"/>
      <c r="AA114" s="417"/>
      <c r="AB114" s="417"/>
      <c r="AC114" s="417"/>
      <c r="AD114" s="417"/>
      <c r="AE114" s="417"/>
      <c r="AF114" s="417"/>
      <c r="AG114" s="417"/>
      <c r="AH114" s="40"/>
      <c r="AI114" s="40"/>
      <c r="AJ114" s="40"/>
      <c r="AK114" s="40"/>
      <c r="AL114" s="40"/>
      <c r="AM114" s="40"/>
      <c r="AN114" s="40"/>
      <c r="AO114" s="40"/>
      <c r="AP114" s="40"/>
      <c r="AQ114" s="40"/>
      <c r="AR114" s="40"/>
      <c r="AS114" s="40"/>
      <c r="AT114" s="40"/>
    </row>
    <row r="115" spans="3:46" outlineLevel="1">
      <c r="C115" s="782" t="s">
        <v>594</v>
      </c>
      <c r="D115" s="783">
        <v>0</v>
      </c>
      <c r="E115" s="870">
        <f>ROUND(D115*$D$19,2)</f>
        <v>0</v>
      </c>
      <c r="J115" s="417"/>
      <c r="K115" s="417"/>
      <c r="L115" s="417"/>
      <c r="M115" s="417"/>
      <c r="N115" s="417"/>
      <c r="O115" s="417"/>
      <c r="P115" s="417"/>
      <c r="Q115" s="417"/>
      <c r="R115" s="417"/>
      <c r="S115" s="417"/>
      <c r="T115" s="417"/>
      <c r="U115" s="417"/>
      <c r="V115" s="417"/>
      <c r="W115" s="417"/>
      <c r="X115" s="417"/>
      <c r="Y115" s="417"/>
      <c r="Z115" s="417"/>
      <c r="AA115" s="417"/>
      <c r="AB115" s="417"/>
      <c r="AC115" s="417"/>
      <c r="AD115" s="417"/>
      <c r="AE115" s="417"/>
      <c r="AF115" s="417"/>
      <c r="AG115" s="417"/>
      <c r="AH115" s="40"/>
      <c r="AI115" s="40"/>
      <c r="AJ115" s="40"/>
      <c r="AK115" s="40"/>
      <c r="AL115" s="40"/>
      <c r="AM115" s="40"/>
      <c r="AN115" s="40"/>
      <c r="AO115" s="40"/>
      <c r="AP115" s="40"/>
      <c r="AQ115" s="40"/>
      <c r="AR115" s="40"/>
      <c r="AS115" s="40"/>
      <c r="AT115" s="40"/>
    </row>
    <row r="116" spans="3:46" outlineLevel="1">
      <c r="C116" s="782" t="s">
        <v>595</v>
      </c>
      <c r="D116" s="775">
        <v>0</v>
      </c>
      <c r="E116" s="870">
        <f>ROUND(D116*$D$19,2)</f>
        <v>0</v>
      </c>
      <c r="L116" s="417"/>
      <c r="M116" s="417"/>
      <c r="P116" s="417"/>
      <c r="Q116" s="417"/>
      <c r="R116" s="417"/>
      <c r="S116" s="417"/>
      <c r="T116" s="417"/>
      <c r="U116" s="417"/>
      <c r="V116" s="417"/>
      <c r="W116" s="417"/>
      <c r="X116" s="417"/>
      <c r="Y116" s="417"/>
      <c r="Z116" s="417"/>
      <c r="AA116" s="417"/>
      <c r="AB116" s="417"/>
      <c r="AC116" s="417"/>
      <c r="AD116" s="417"/>
      <c r="AE116" s="417"/>
      <c r="AF116" s="417"/>
      <c r="AG116" s="417"/>
      <c r="AH116" s="40"/>
      <c r="AI116" s="40"/>
      <c r="AJ116" s="40"/>
      <c r="AK116" s="40"/>
      <c r="AL116" s="40"/>
      <c r="AM116" s="40"/>
      <c r="AN116" s="40"/>
      <c r="AO116" s="40"/>
      <c r="AP116" s="40"/>
      <c r="AQ116" s="40"/>
      <c r="AR116" s="40"/>
      <c r="AS116" s="40"/>
      <c r="AT116" s="40"/>
    </row>
    <row r="117" spans="3:46" outlineLevel="1">
      <c r="C117" s="756" t="s">
        <v>596</v>
      </c>
      <c r="D117" s="775">
        <v>0</v>
      </c>
      <c r="E117" s="870">
        <f>ROUND(D117*$D$19,2)</f>
        <v>0</v>
      </c>
      <c r="L117" s="417"/>
      <c r="M117" s="417"/>
      <c r="P117" s="417"/>
      <c r="Q117" s="417"/>
      <c r="R117" s="417"/>
      <c r="S117" s="417"/>
      <c r="T117" s="417"/>
      <c r="U117" s="417"/>
      <c r="V117" s="417"/>
      <c r="W117" s="417"/>
      <c r="X117" s="417"/>
      <c r="Y117" s="417"/>
      <c r="Z117" s="417"/>
      <c r="AA117" s="417"/>
      <c r="AB117" s="417"/>
      <c r="AC117" s="417"/>
      <c r="AD117" s="417"/>
      <c r="AE117" s="417"/>
      <c r="AF117" s="417"/>
      <c r="AG117" s="417"/>
      <c r="AH117" s="40"/>
      <c r="AI117" s="40"/>
      <c r="AJ117" s="40"/>
      <c r="AK117" s="40"/>
      <c r="AL117" s="40"/>
      <c r="AM117" s="40"/>
      <c r="AN117" s="40"/>
      <c r="AO117" s="40"/>
      <c r="AP117" s="40"/>
      <c r="AQ117" s="40"/>
      <c r="AR117" s="40"/>
      <c r="AS117" s="40"/>
      <c r="AT117" s="40"/>
    </row>
    <row r="118" spans="3:46" outlineLevel="1">
      <c r="C118" s="756" t="s">
        <v>597</v>
      </c>
      <c r="D118" s="775">
        <v>0</v>
      </c>
      <c r="E118" s="870">
        <f>ROUND(D118*$D$19,2)</f>
        <v>0</v>
      </c>
      <c r="L118" s="417"/>
      <c r="M118" s="417"/>
      <c r="P118" s="417"/>
      <c r="Q118" s="417"/>
      <c r="R118" s="417"/>
      <c r="S118" s="417"/>
      <c r="T118" s="417"/>
      <c r="U118" s="417"/>
      <c r="V118" s="417"/>
      <c r="W118" s="417"/>
      <c r="X118" s="417"/>
      <c r="Y118" s="417"/>
      <c r="Z118" s="417"/>
      <c r="AA118" s="417"/>
      <c r="AB118" s="417"/>
      <c r="AC118" s="417"/>
      <c r="AD118" s="417"/>
      <c r="AE118" s="417"/>
      <c r="AF118" s="417"/>
      <c r="AG118" s="417"/>
      <c r="AH118" s="40"/>
      <c r="AI118" s="40"/>
      <c r="AJ118" s="40"/>
      <c r="AK118" s="40"/>
      <c r="AL118" s="40"/>
      <c r="AM118" s="40"/>
      <c r="AN118" s="40"/>
      <c r="AO118" s="40"/>
      <c r="AP118" s="40"/>
      <c r="AQ118" s="40"/>
      <c r="AR118" s="40"/>
      <c r="AS118" s="40"/>
      <c r="AT118" s="40"/>
    </row>
    <row r="119" spans="3:46" outlineLevel="1">
      <c r="C119" s="784" t="s">
        <v>77</v>
      </c>
      <c r="D119" s="460">
        <f>SUM(D115:D118)</f>
        <v>0</v>
      </c>
      <c r="E119" s="460">
        <f>SUM(E115:E118)</f>
        <v>0</v>
      </c>
      <c r="L119" s="417"/>
      <c r="M119" s="417"/>
      <c r="P119" s="417"/>
      <c r="Q119" s="417"/>
      <c r="R119" s="417"/>
      <c r="S119" s="417"/>
      <c r="T119" s="417"/>
      <c r="U119" s="417"/>
      <c r="V119" s="417"/>
      <c r="W119" s="417"/>
      <c r="X119" s="417"/>
      <c r="Y119" s="417"/>
      <c r="Z119" s="417"/>
      <c r="AA119" s="417"/>
      <c r="AB119" s="417"/>
      <c r="AC119" s="417"/>
      <c r="AD119" s="417"/>
      <c r="AE119" s="417"/>
      <c r="AF119" s="417"/>
      <c r="AG119" s="417"/>
      <c r="AH119" s="40"/>
      <c r="AI119" s="40"/>
      <c r="AJ119" s="40"/>
      <c r="AK119" s="40"/>
      <c r="AL119" s="40"/>
      <c r="AM119" s="40"/>
      <c r="AN119" s="40"/>
      <c r="AO119" s="40"/>
      <c r="AP119" s="40"/>
      <c r="AQ119" s="40"/>
      <c r="AR119" s="40"/>
      <c r="AS119" s="40"/>
      <c r="AT119" s="40"/>
    </row>
    <row r="120" spans="3:46" outlineLevel="1">
      <c r="C120" s="417"/>
      <c r="D120" s="455"/>
      <c r="E120" s="460">
        <f>D119+E119</f>
        <v>0</v>
      </c>
      <c r="L120" s="417"/>
      <c r="M120" s="417"/>
      <c r="P120" s="417"/>
      <c r="Q120" s="417"/>
      <c r="R120" s="417"/>
      <c r="S120" s="417"/>
      <c r="T120" s="417"/>
      <c r="U120" s="417"/>
      <c r="V120" s="417"/>
      <c r="W120" s="417"/>
      <c r="X120" s="417"/>
      <c r="Y120" s="417"/>
      <c r="Z120" s="417"/>
      <c r="AA120" s="417"/>
      <c r="AB120" s="417"/>
      <c r="AC120" s="417"/>
      <c r="AD120" s="417"/>
      <c r="AE120" s="417"/>
      <c r="AF120" s="417"/>
      <c r="AG120" s="417"/>
      <c r="AH120" s="40"/>
      <c r="AI120" s="40"/>
      <c r="AJ120" s="40"/>
      <c r="AK120" s="40"/>
      <c r="AL120" s="40"/>
      <c r="AM120" s="40"/>
      <c r="AN120" s="40"/>
      <c r="AO120" s="40"/>
      <c r="AP120" s="40"/>
      <c r="AQ120" s="40"/>
      <c r="AR120" s="40"/>
      <c r="AS120" s="40"/>
      <c r="AT120" s="40"/>
    </row>
    <row r="121" spans="3:46" ht="9" customHeight="1" outlineLevel="1">
      <c r="C121" s="417"/>
      <c r="D121" s="455"/>
      <c r="E121" s="455"/>
      <c r="L121" s="417"/>
      <c r="M121" s="417"/>
      <c r="P121" s="417"/>
      <c r="Q121" s="417"/>
      <c r="R121" s="417"/>
      <c r="S121" s="417"/>
      <c r="T121" s="417"/>
      <c r="U121" s="417"/>
      <c r="V121" s="417"/>
      <c r="W121" s="417"/>
      <c r="X121" s="417"/>
      <c r="Y121" s="417"/>
      <c r="Z121" s="417"/>
      <c r="AA121" s="417"/>
      <c r="AB121" s="417"/>
      <c r="AC121" s="417"/>
      <c r="AD121" s="417"/>
      <c r="AE121" s="417"/>
      <c r="AF121" s="417"/>
      <c r="AG121" s="417"/>
      <c r="AH121" s="40"/>
      <c r="AI121" s="40"/>
      <c r="AJ121" s="40"/>
      <c r="AK121" s="40"/>
      <c r="AL121" s="40"/>
      <c r="AM121" s="40"/>
      <c r="AN121" s="40"/>
      <c r="AO121" s="40"/>
      <c r="AP121" s="40"/>
      <c r="AQ121" s="40"/>
      <c r="AR121" s="40"/>
      <c r="AS121" s="40"/>
      <c r="AT121" s="40"/>
    </row>
    <row r="122" spans="3:46" outlineLevel="1">
      <c r="C122" s="785"/>
      <c r="D122" s="786" t="s">
        <v>78</v>
      </c>
      <c r="E122" s="768">
        <v>0</v>
      </c>
      <c r="L122" s="417"/>
      <c r="M122" s="417"/>
      <c r="P122" s="417"/>
      <c r="Q122" s="417"/>
      <c r="R122" s="417"/>
      <c r="S122" s="417"/>
      <c r="T122" s="417"/>
      <c r="U122" s="417"/>
      <c r="V122" s="417"/>
      <c r="W122" s="417"/>
      <c r="X122" s="417"/>
      <c r="Y122" s="417"/>
      <c r="Z122" s="417"/>
      <c r="AA122" s="417"/>
      <c r="AB122" s="417"/>
      <c r="AC122" s="417"/>
      <c r="AD122" s="417"/>
      <c r="AE122" s="417"/>
      <c r="AF122" s="417"/>
      <c r="AG122" s="417"/>
      <c r="AH122" s="40"/>
      <c r="AI122" s="40"/>
      <c r="AJ122" s="40"/>
      <c r="AK122" s="40"/>
      <c r="AL122" s="40"/>
      <c r="AM122" s="40"/>
      <c r="AN122" s="40"/>
      <c r="AO122" s="40"/>
      <c r="AP122" s="40"/>
      <c r="AQ122" s="40"/>
      <c r="AR122" s="40"/>
      <c r="AS122" s="40"/>
      <c r="AT122" s="40"/>
    </row>
    <row r="123" spans="3:46" ht="30" customHeight="1">
      <c r="C123" s="417"/>
      <c r="D123" s="455"/>
      <c r="E123" s="455"/>
      <c r="L123" s="417"/>
      <c r="M123" s="417"/>
      <c r="P123" s="417"/>
      <c r="Q123" s="417"/>
      <c r="R123" s="417"/>
      <c r="S123" s="417"/>
      <c r="T123" s="417"/>
      <c r="U123" s="417"/>
      <c r="V123" s="417"/>
      <c r="W123" s="417"/>
      <c r="X123" s="417"/>
      <c r="Y123" s="417"/>
      <c r="Z123" s="417"/>
      <c r="AA123" s="417"/>
      <c r="AB123" s="417"/>
      <c r="AC123" s="417"/>
      <c r="AD123" s="417"/>
      <c r="AE123" s="417"/>
      <c r="AF123" s="417"/>
      <c r="AG123" s="417"/>
      <c r="AH123" s="40"/>
      <c r="AI123" s="40"/>
      <c r="AJ123" s="40"/>
      <c r="AK123" s="40"/>
      <c r="AL123" s="40"/>
      <c r="AM123" s="40"/>
      <c r="AN123" s="40"/>
      <c r="AO123" s="40"/>
      <c r="AP123" s="40"/>
      <c r="AQ123" s="40"/>
      <c r="AR123" s="40"/>
      <c r="AS123" s="40"/>
      <c r="AT123" s="40"/>
    </row>
    <row r="124" spans="3:46" ht="15.6">
      <c r="C124" s="781" t="s">
        <v>79</v>
      </c>
      <c r="D124" s="781" t="s">
        <v>75</v>
      </c>
      <c r="E124" s="781" t="s">
        <v>76</v>
      </c>
      <c r="L124" s="417"/>
      <c r="M124" s="417"/>
      <c r="P124" s="417"/>
      <c r="Q124" s="417"/>
      <c r="R124" s="417"/>
      <c r="S124" s="417"/>
      <c r="T124" s="417"/>
      <c r="U124" s="417"/>
      <c r="V124" s="417"/>
      <c r="W124" s="417"/>
      <c r="X124" s="417"/>
      <c r="Y124" s="417"/>
      <c r="Z124" s="417"/>
      <c r="AA124" s="417"/>
      <c r="AB124" s="417"/>
      <c r="AC124" s="417"/>
      <c r="AD124" s="417"/>
      <c r="AE124" s="417"/>
      <c r="AF124" s="417"/>
      <c r="AG124" s="417"/>
      <c r="AH124" s="40"/>
      <c r="AI124" s="40"/>
      <c r="AJ124" s="40"/>
      <c r="AK124" s="40"/>
      <c r="AL124" s="40"/>
      <c r="AM124" s="40"/>
      <c r="AN124" s="40"/>
      <c r="AO124" s="40"/>
      <c r="AP124" s="40"/>
      <c r="AQ124" s="40"/>
      <c r="AR124" s="40"/>
      <c r="AS124" s="40"/>
      <c r="AT124" s="40"/>
    </row>
    <row r="125" spans="3:46" outlineLevel="1">
      <c r="C125" s="787" t="s">
        <v>590</v>
      </c>
      <c r="D125" s="775">
        <v>0</v>
      </c>
      <c r="E125" s="870">
        <f>ROUND(D125*$D$19,2)</f>
        <v>0</v>
      </c>
      <c r="L125" s="417"/>
      <c r="M125" s="417"/>
      <c r="P125" s="417"/>
      <c r="Q125" s="417"/>
      <c r="R125" s="417"/>
      <c r="S125" s="417"/>
      <c r="T125" s="417"/>
      <c r="U125" s="417"/>
      <c r="V125" s="417"/>
      <c r="W125" s="417"/>
      <c r="X125" s="417"/>
      <c r="Y125" s="417"/>
      <c r="Z125" s="417"/>
      <c r="AA125" s="417"/>
      <c r="AB125" s="417"/>
      <c r="AC125" s="417"/>
      <c r="AD125" s="417"/>
      <c r="AE125" s="417"/>
      <c r="AF125" s="417"/>
      <c r="AG125" s="417"/>
      <c r="AH125" s="40"/>
      <c r="AI125" s="40"/>
      <c r="AJ125" s="40"/>
      <c r="AK125" s="40"/>
      <c r="AL125" s="40"/>
      <c r="AM125" s="40"/>
      <c r="AN125" s="40"/>
      <c r="AO125" s="40"/>
      <c r="AP125" s="40"/>
      <c r="AQ125" s="40"/>
      <c r="AR125" s="40"/>
      <c r="AS125" s="40"/>
      <c r="AT125" s="40"/>
    </row>
    <row r="126" spans="3:46" outlineLevel="1">
      <c r="C126" s="787" t="s">
        <v>591</v>
      </c>
      <c r="D126" s="775">
        <v>0</v>
      </c>
      <c r="E126" s="870">
        <f>ROUND(D126*$D$19,2)</f>
        <v>0</v>
      </c>
      <c r="L126" s="417"/>
      <c r="M126" s="417"/>
      <c r="P126" s="417"/>
      <c r="Q126" s="417"/>
      <c r="R126" s="417"/>
      <c r="S126" s="417"/>
      <c r="T126" s="417"/>
      <c r="U126" s="417"/>
      <c r="V126" s="417"/>
      <c r="W126" s="417"/>
      <c r="X126" s="417"/>
      <c r="Y126" s="417"/>
      <c r="Z126" s="417"/>
      <c r="AA126" s="417"/>
      <c r="AB126" s="417"/>
      <c r="AC126" s="417"/>
      <c r="AD126" s="417"/>
      <c r="AE126" s="417"/>
      <c r="AF126" s="417"/>
      <c r="AG126" s="417"/>
      <c r="AH126" s="40"/>
      <c r="AI126" s="40"/>
      <c r="AJ126" s="40"/>
      <c r="AK126" s="40"/>
      <c r="AL126" s="40"/>
      <c r="AM126" s="40"/>
      <c r="AN126" s="40"/>
      <c r="AO126" s="40"/>
      <c r="AP126" s="40"/>
      <c r="AQ126" s="40"/>
      <c r="AR126" s="40"/>
      <c r="AS126" s="40"/>
      <c r="AT126" s="40"/>
    </row>
    <row r="127" spans="3:46" outlineLevel="1">
      <c r="C127" s="756" t="s">
        <v>592</v>
      </c>
      <c r="D127" s="775">
        <v>0</v>
      </c>
      <c r="E127" s="870">
        <f>ROUND(D127*$D$19,2)</f>
        <v>0</v>
      </c>
      <c r="L127" s="417"/>
      <c r="M127" s="417"/>
      <c r="P127" s="417"/>
      <c r="Q127" s="417"/>
      <c r="R127" s="417"/>
      <c r="S127" s="417"/>
      <c r="T127" s="417"/>
      <c r="U127" s="417"/>
      <c r="V127" s="417"/>
      <c r="W127" s="417"/>
      <c r="X127" s="417"/>
      <c r="Y127" s="417"/>
      <c r="Z127" s="417"/>
      <c r="AA127" s="417"/>
      <c r="AB127" s="417"/>
      <c r="AC127" s="417"/>
      <c r="AD127" s="417"/>
      <c r="AE127" s="417"/>
      <c r="AF127" s="417"/>
      <c r="AG127" s="417"/>
      <c r="AH127" s="40"/>
      <c r="AI127" s="40"/>
      <c r="AJ127" s="40"/>
      <c r="AK127" s="40"/>
      <c r="AL127" s="40"/>
      <c r="AM127" s="40"/>
      <c r="AN127" s="40"/>
      <c r="AO127" s="40"/>
      <c r="AP127" s="40"/>
      <c r="AQ127" s="40"/>
      <c r="AR127" s="40"/>
      <c r="AS127" s="40"/>
      <c r="AT127" s="40"/>
    </row>
    <row r="128" spans="3:46" outlineLevel="1">
      <c r="C128" s="756" t="s">
        <v>593</v>
      </c>
      <c r="D128" s="775">
        <v>0</v>
      </c>
      <c r="E128" s="870">
        <f>ROUND(D128*$D$19,2)</f>
        <v>0</v>
      </c>
      <c r="L128" s="417"/>
      <c r="M128" s="417"/>
      <c r="P128" s="417"/>
      <c r="Q128" s="417"/>
      <c r="R128" s="417"/>
      <c r="S128" s="417"/>
      <c r="T128" s="417"/>
      <c r="U128" s="417"/>
      <c r="V128" s="417"/>
      <c r="W128" s="417"/>
      <c r="X128" s="417"/>
      <c r="Y128" s="417"/>
      <c r="Z128" s="417"/>
      <c r="AA128" s="417"/>
      <c r="AB128" s="417"/>
      <c r="AC128" s="417"/>
      <c r="AD128" s="417"/>
      <c r="AE128" s="417"/>
      <c r="AF128" s="417"/>
      <c r="AG128" s="417"/>
      <c r="AH128" s="40"/>
      <c r="AI128" s="40"/>
      <c r="AJ128" s="40"/>
      <c r="AK128" s="40"/>
      <c r="AL128" s="40"/>
      <c r="AM128" s="40"/>
      <c r="AN128" s="40"/>
      <c r="AO128" s="40"/>
      <c r="AP128" s="40"/>
      <c r="AQ128" s="40"/>
      <c r="AR128" s="40"/>
      <c r="AS128" s="40"/>
      <c r="AT128" s="40"/>
    </row>
    <row r="129" spans="2:46" outlineLevel="1">
      <c r="C129" s="784" t="s">
        <v>80</v>
      </c>
      <c r="D129" s="460">
        <f>SUM(D125:D128)</f>
        <v>0</v>
      </c>
      <c r="E129" s="460">
        <f>SUM(E125:E128)</f>
        <v>0</v>
      </c>
      <c r="L129" s="417"/>
      <c r="M129" s="417"/>
      <c r="P129" s="417"/>
      <c r="Q129" s="417"/>
      <c r="R129" s="417"/>
      <c r="S129" s="417"/>
      <c r="T129" s="417"/>
      <c r="U129" s="417"/>
      <c r="V129" s="417"/>
      <c r="W129" s="417"/>
      <c r="X129" s="417"/>
      <c r="Y129" s="417"/>
      <c r="Z129" s="417"/>
      <c r="AA129" s="417"/>
      <c r="AB129" s="417"/>
      <c r="AC129" s="417"/>
      <c r="AD129" s="417"/>
      <c r="AE129" s="417"/>
      <c r="AF129" s="417"/>
      <c r="AG129" s="417"/>
      <c r="AH129" s="40"/>
      <c r="AI129" s="40"/>
      <c r="AJ129" s="40"/>
      <c r="AK129" s="40"/>
      <c r="AL129" s="40"/>
      <c r="AM129" s="40"/>
      <c r="AN129" s="40"/>
      <c r="AO129" s="40"/>
      <c r="AP129" s="40"/>
      <c r="AQ129" s="40"/>
      <c r="AR129" s="40"/>
      <c r="AS129" s="40"/>
      <c r="AT129" s="40"/>
    </row>
    <row r="130" spans="2:46" outlineLevel="1">
      <c r="C130" s="417"/>
      <c r="D130" s="455"/>
      <c r="E130" s="460">
        <f>D129+E129</f>
        <v>0</v>
      </c>
      <c r="L130" s="417"/>
      <c r="M130" s="417"/>
      <c r="P130" s="417"/>
      <c r="Q130" s="417"/>
      <c r="R130" s="417"/>
      <c r="S130" s="417"/>
      <c r="T130" s="417"/>
      <c r="U130" s="417"/>
      <c r="V130" s="417"/>
      <c r="W130" s="417"/>
      <c r="X130" s="417"/>
      <c r="Y130" s="417"/>
      <c r="Z130" s="417"/>
      <c r="AA130" s="417"/>
      <c r="AB130" s="417"/>
      <c r="AC130" s="417"/>
      <c r="AD130" s="417"/>
      <c r="AE130" s="417"/>
      <c r="AF130" s="417"/>
      <c r="AG130" s="417"/>
      <c r="AH130" s="40"/>
      <c r="AI130" s="40"/>
      <c r="AJ130" s="40"/>
      <c r="AK130" s="40"/>
      <c r="AL130" s="40"/>
      <c r="AM130" s="40"/>
      <c r="AN130" s="40"/>
      <c r="AO130" s="40"/>
      <c r="AP130" s="40"/>
      <c r="AQ130" s="40"/>
      <c r="AR130" s="40"/>
      <c r="AS130" s="40"/>
      <c r="AT130" s="40"/>
    </row>
    <row r="131" spans="2:46" ht="8.25" customHeight="1" outlineLevel="1">
      <c r="C131" s="417"/>
      <c r="D131" s="455"/>
      <c r="E131" s="455"/>
      <c r="L131" s="417"/>
      <c r="M131" s="417"/>
      <c r="P131" s="417"/>
      <c r="Q131" s="417"/>
      <c r="R131" s="417"/>
      <c r="S131" s="417"/>
      <c r="T131" s="417"/>
      <c r="U131" s="417"/>
      <c r="V131" s="417"/>
      <c r="W131" s="417"/>
      <c r="X131" s="417"/>
      <c r="Y131" s="417"/>
      <c r="Z131" s="417"/>
      <c r="AA131" s="417"/>
      <c r="AB131" s="417"/>
      <c r="AC131" s="417"/>
      <c r="AD131" s="417"/>
      <c r="AE131" s="417"/>
      <c r="AF131" s="417"/>
      <c r="AG131" s="417"/>
      <c r="AH131" s="40"/>
      <c r="AI131" s="40"/>
      <c r="AJ131" s="40"/>
      <c r="AK131" s="40"/>
      <c r="AL131" s="40"/>
      <c r="AM131" s="40"/>
      <c r="AN131" s="40"/>
      <c r="AO131" s="40"/>
      <c r="AP131" s="40"/>
      <c r="AQ131" s="40"/>
      <c r="AR131" s="40"/>
      <c r="AS131" s="40"/>
      <c r="AT131" s="40"/>
    </row>
    <row r="132" spans="2:46" outlineLevel="1">
      <c r="C132" s="785"/>
      <c r="D132" s="786" t="s">
        <v>81</v>
      </c>
      <c r="E132" s="768"/>
      <c r="L132" s="417"/>
      <c r="M132" s="417"/>
      <c r="P132" s="417"/>
      <c r="Q132" s="417"/>
      <c r="R132" s="417"/>
      <c r="S132" s="417"/>
      <c r="T132" s="417"/>
      <c r="U132" s="417"/>
      <c r="V132" s="417"/>
      <c r="W132" s="417"/>
      <c r="X132" s="417"/>
      <c r="Y132" s="417"/>
      <c r="Z132" s="417"/>
      <c r="AA132" s="417"/>
      <c r="AB132" s="417"/>
      <c r="AC132" s="417"/>
      <c r="AD132" s="417"/>
      <c r="AE132" s="417"/>
      <c r="AF132" s="417"/>
      <c r="AG132" s="417"/>
      <c r="AH132" s="40"/>
      <c r="AI132" s="40"/>
      <c r="AJ132" s="40"/>
      <c r="AK132" s="40"/>
      <c r="AL132" s="40"/>
      <c r="AM132" s="40"/>
      <c r="AN132" s="40"/>
      <c r="AO132" s="40"/>
      <c r="AP132" s="40"/>
      <c r="AQ132" s="40"/>
      <c r="AR132" s="40"/>
      <c r="AS132" s="40"/>
      <c r="AT132" s="40"/>
    </row>
    <row r="133" spans="2:46" ht="23.25" customHeight="1">
      <c r="C133" s="441"/>
      <c r="D133" s="457"/>
      <c r="E133" s="422"/>
      <c r="L133" s="417"/>
      <c r="M133" s="417"/>
      <c r="P133" s="417"/>
      <c r="Q133" s="417"/>
      <c r="R133" s="417"/>
      <c r="S133" s="417"/>
      <c r="T133" s="417"/>
      <c r="U133" s="417"/>
      <c r="V133" s="417"/>
      <c r="W133" s="417"/>
      <c r="X133" s="417"/>
      <c r="Y133" s="417"/>
      <c r="Z133" s="417"/>
      <c r="AA133" s="417"/>
      <c r="AB133" s="417"/>
      <c r="AC133" s="417"/>
      <c r="AD133" s="417"/>
      <c r="AE133" s="417"/>
      <c r="AF133" s="417"/>
      <c r="AG133" s="417"/>
      <c r="AH133" s="40"/>
      <c r="AI133" s="40"/>
      <c r="AJ133" s="40"/>
      <c r="AK133" s="40"/>
      <c r="AL133" s="40"/>
      <c r="AM133" s="40"/>
      <c r="AN133" s="40"/>
      <c r="AO133" s="40"/>
      <c r="AP133" s="40"/>
      <c r="AQ133" s="40"/>
      <c r="AR133" s="40"/>
      <c r="AS133" s="40"/>
      <c r="AT133" s="40"/>
    </row>
    <row r="134" spans="2:46">
      <c r="C134" s="785"/>
      <c r="D134" s="786" t="s">
        <v>520</v>
      </c>
      <c r="E134" s="788">
        <f>-Reconciliation!E33</f>
        <v>83055.72</v>
      </c>
      <c r="L134" s="417"/>
      <c r="M134" s="417"/>
      <c r="P134" s="417"/>
      <c r="Q134" s="417"/>
      <c r="R134" s="417"/>
      <c r="S134" s="417"/>
      <c r="T134" s="417"/>
      <c r="U134" s="417"/>
      <c r="V134" s="417"/>
      <c r="W134" s="417"/>
      <c r="X134" s="417"/>
      <c r="Y134" s="417"/>
      <c r="Z134" s="417"/>
      <c r="AA134" s="417"/>
      <c r="AB134" s="417"/>
      <c r="AC134" s="417"/>
      <c r="AD134" s="417"/>
      <c r="AE134" s="417"/>
      <c r="AF134" s="417"/>
      <c r="AG134" s="417"/>
      <c r="AH134" s="40"/>
      <c r="AI134" s="40"/>
      <c r="AJ134" s="40"/>
      <c r="AK134" s="40"/>
      <c r="AL134" s="40"/>
      <c r="AM134" s="40"/>
      <c r="AN134" s="40"/>
      <c r="AO134" s="40"/>
      <c r="AP134" s="40"/>
      <c r="AQ134" s="40"/>
      <c r="AR134" s="40"/>
      <c r="AS134" s="40"/>
      <c r="AT134" s="40"/>
    </row>
    <row r="135" spans="2:46" ht="18.600000000000001" thickBot="1">
      <c r="C135" s="417"/>
      <c r="D135" s="455"/>
      <c r="E135" s="455"/>
      <c r="L135" s="417"/>
      <c r="M135" s="417"/>
      <c r="P135" s="417"/>
      <c r="Q135" s="417"/>
      <c r="R135" s="417"/>
      <c r="S135" s="417"/>
      <c r="T135" s="417"/>
      <c r="U135" s="417"/>
      <c r="V135" s="417"/>
      <c r="W135" s="417"/>
      <c r="X135" s="417"/>
      <c r="Y135" s="417"/>
      <c r="Z135" s="417"/>
      <c r="AA135" s="417"/>
      <c r="AB135" s="417"/>
      <c r="AC135" s="417"/>
      <c r="AD135" s="417"/>
      <c r="AE135" s="417"/>
      <c r="AF135" s="417"/>
      <c r="AG135" s="417"/>
      <c r="AH135" s="40"/>
      <c r="AI135" s="40"/>
      <c r="AJ135" s="40"/>
      <c r="AK135" s="40"/>
      <c r="AL135" s="40"/>
      <c r="AM135" s="40"/>
      <c r="AN135" s="40"/>
      <c r="AO135" s="40"/>
      <c r="AP135" s="40"/>
      <c r="AQ135" s="40"/>
      <c r="AR135" s="40"/>
      <c r="AS135" s="40"/>
      <c r="AT135" s="40"/>
    </row>
    <row r="136" spans="2:46">
      <c r="C136" s="825" t="s">
        <v>82</v>
      </c>
      <c r="D136" s="826"/>
      <c r="E136" s="827"/>
      <c r="F136" s="622"/>
      <c r="H136"/>
      <c r="I136"/>
      <c r="L136" s="417"/>
      <c r="M136" s="417"/>
      <c r="P136" s="417"/>
      <c r="Q136" s="417"/>
      <c r="R136" s="417"/>
      <c r="S136" s="417"/>
      <c r="T136" s="417"/>
      <c r="U136" s="417"/>
      <c r="V136" s="417"/>
      <c r="W136" s="417"/>
      <c r="X136" s="417"/>
      <c r="Y136" s="417"/>
      <c r="Z136" s="417"/>
      <c r="AA136" s="417"/>
      <c r="AB136" s="417"/>
      <c r="AC136" s="417"/>
      <c r="AD136" s="417"/>
      <c r="AE136" s="417"/>
      <c r="AF136" s="417"/>
      <c r="AG136" s="417"/>
      <c r="AH136" s="40"/>
      <c r="AI136" s="40"/>
      <c r="AJ136" s="40"/>
      <c r="AK136" s="40"/>
      <c r="AL136" s="40"/>
      <c r="AM136" s="40"/>
      <c r="AN136" s="40"/>
      <c r="AO136" s="40"/>
      <c r="AP136" s="40"/>
      <c r="AQ136" s="40"/>
      <c r="AR136" s="40"/>
      <c r="AS136" s="40"/>
      <c r="AT136" s="40"/>
    </row>
    <row r="137" spans="2:46" ht="29.25" customHeight="1">
      <c r="B137" s="98"/>
      <c r="C137" s="1313" t="s">
        <v>529</v>
      </c>
      <c r="D137" s="1314"/>
      <c r="E137" s="1315"/>
      <c r="F137" s="622"/>
      <c r="H137"/>
      <c r="I137"/>
      <c r="L137" s="417"/>
      <c r="M137" s="417"/>
      <c r="P137" s="417"/>
      <c r="Q137" s="417"/>
      <c r="R137" s="417"/>
      <c r="S137" s="417"/>
      <c r="T137" s="417"/>
      <c r="U137" s="417"/>
      <c r="V137" s="417"/>
      <c r="W137" s="417"/>
      <c r="X137" s="417"/>
      <c r="Y137" s="417"/>
      <c r="Z137" s="417"/>
      <c r="AA137" s="417"/>
      <c r="AB137" s="417"/>
      <c r="AC137" s="417"/>
      <c r="AD137" s="417"/>
      <c r="AE137" s="417"/>
      <c r="AF137" s="417"/>
      <c r="AG137" s="417"/>
      <c r="AH137" s="40"/>
      <c r="AI137" s="40"/>
      <c r="AJ137" s="40"/>
      <c r="AK137" s="40"/>
      <c r="AL137" s="40"/>
      <c r="AM137" s="40"/>
      <c r="AN137" s="40"/>
      <c r="AO137" s="40"/>
      <c r="AP137" s="40"/>
      <c r="AQ137" s="40"/>
      <c r="AR137" s="40"/>
      <c r="AS137" s="40"/>
      <c r="AT137" s="40"/>
    </row>
    <row r="138" spans="2:46">
      <c r="C138" s="828" t="str">
        <f>D18 &amp;"  10D: TOTAL FEDERAL FUNDS AUTHORIZED"</f>
        <v>00-0000  10D: TOTAL FEDERAL FUNDS AUTHORIZED</v>
      </c>
      <c r="D138" s="791"/>
      <c r="E138" s="776">
        <v>0</v>
      </c>
      <c r="F138" s="623"/>
      <c r="G138"/>
      <c r="H138"/>
      <c r="I138"/>
      <c r="L138" s="417"/>
      <c r="M138" s="417"/>
      <c r="P138" s="417"/>
      <c r="Q138" s="417"/>
      <c r="R138" s="417"/>
      <c r="S138" s="417"/>
      <c r="T138" s="417"/>
      <c r="U138" s="417"/>
      <c r="V138" s="417"/>
      <c r="W138" s="417"/>
      <c r="X138" s="417"/>
      <c r="Y138" s="417"/>
      <c r="Z138" s="417"/>
      <c r="AA138" s="417"/>
      <c r="AB138" s="417"/>
      <c r="AC138" s="417"/>
      <c r="AD138" s="417"/>
      <c r="AE138" s="417"/>
      <c r="AF138" s="417"/>
      <c r="AG138" s="417"/>
      <c r="AH138" s="40"/>
      <c r="AI138" s="40"/>
      <c r="AJ138" s="40"/>
      <c r="AK138" s="40"/>
      <c r="AL138" s="40"/>
      <c r="AM138" s="40"/>
      <c r="AN138" s="40"/>
      <c r="AO138" s="40"/>
      <c r="AP138" s="40"/>
      <c r="AQ138" s="40"/>
      <c r="AR138" s="40"/>
      <c r="AS138" s="40"/>
      <c r="AT138" s="40"/>
    </row>
    <row r="139" spans="2:46">
      <c r="C139" s="828" t="str">
        <f>D18 &amp;"  10F:  FED SHARE UNLIQUIDATED OBLIGATIONS"</f>
        <v>00-0000  10F:  FED SHARE UNLIQUIDATED OBLIGATIONS</v>
      </c>
      <c r="D139" s="460"/>
      <c r="E139" s="776">
        <v>0</v>
      </c>
      <c r="F139" s="623"/>
      <c r="G139"/>
      <c r="H139"/>
      <c r="I139"/>
      <c r="L139" s="417"/>
      <c r="M139" s="417"/>
      <c r="P139" s="417"/>
      <c r="Q139" s="417"/>
      <c r="R139" s="417"/>
      <c r="S139" s="417"/>
      <c r="T139" s="417"/>
      <c r="U139" s="417"/>
      <c r="V139" s="417"/>
      <c r="W139" s="417"/>
      <c r="X139" s="417"/>
      <c r="Y139" s="417"/>
      <c r="Z139" s="417"/>
      <c r="AA139" s="417"/>
      <c r="AB139" s="417"/>
      <c r="AC139" s="417"/>
      <c r="AD139" s="417"/>
      <c r="AE139" s="417"/>
      <c r="AF139" s="417"/>
      <c r="AG139" s="417"/>
      <c r="AH139" s="40"/>
      <c r="AI139" s="40"/>
      <c r="AJ139" s="40"/>
      <c r="AK139" s="40"/>
      <c r="AL139" s="40"/>
      <c r="AM139" s="40"/>
      <c r="AN139" s="40"/>
      <c r="AO139" s="40"/>
      <c r="AP139" s="40"/>
      <c r="AQ139" s="40"/>
      <c r="AR139" s="40"/>
      <c r="AS139" s="40"/>
      <c r="AT139" s="40"/>
    </row>
    <row r="140" spans="2:46" ht="18.600000000000001" thickBot="1">
      <c r="C140" s="829" t="str">
        <f>D18 &amp;"  10H: UNOBLIGATED BALANCE OF FED FUNDS"</f>
        <v>00-0000  10H: UNOBLIGATED BALANCE OF FED FUNDS</v>
      </c>
      <c r="D140" s="464"/>
      <c r="E140" s="777">
        <v>0</v>
      </c>
      <c r="F140" s="111"/>
      <c r="P140" s="417"/>
      <c r="Q140" s="417"/>
      <c r="R140" s="417"/>
      <c r="S140" s="417"/>
      <c r="T140" s="417"/>
      <c r="U140" s="417"/>
      <c r="V140" s="417"/>
      <c r="W140" s="417"/>
      <c r="X140" s="417"/>
      <c r="Y140" s="417"/>
      <c r="Z140" s="417"/>
      <c r="AA140" s="417"/>
      <c r="AB140" s="417"/>
      <c r="AC140" s="417"/>
      <c r="AD140" s="417"/>
      <c r="AE140" s="417"/>
      <c r="AF140" s="417"/>
      <c r="AG140" s="417"/>
      <c r="AH140" s="40"/>
      <c r="AI140" s="40"/>
      <c r="AJ140" s="40"/>
      <c r="AK140" s="40"/>
      <c r="AL140" s="40"/>
      <c r="AM140" s="40"/>
      <c r="AN140" s="40"/>
      <c r="AO140" s="40"/>
      <c r="AP140" s="40"/>
      <c r="AQ140" s="40"/>
      <c r="AR140" s="40"/>
      <c r="AS140" s="40"/>
      <c r="AT140" s="40"/>
    </row>
    <row r="141" spans="2:46" ht="18.600000000000001" thickBot="1">
      <c r="C141" s="461"/>
      <c r="D141" s="462"/>
      <c r="E141" s="463"/>
      <c r="F141" s="111"/>
      <c r="P141" s="417"/>
      <c r="Q141" s="417"/>
      <c r="R141" s="417"/>
      <c r="S141" s="417"/>
      <c r="T141" s="417"/>
      <c r="U141" s="417"/>
      <c r="V141" s="417"/>
      <c r="W141" s="417"/>
      <c r="X141" s="417"/>
      <c r="Y141" s="417"/>
      <c r="Z141" s="417"/>
      <c r="AA141" s="417"/>
      <c r="AB141" s="417"/>
      <c r="AC141" s="417"/>
      <c r="AD141" s="417"/>
      <c r="AE141" s="417"/>
      <c r="AF141" s="417"/>
      <c r="AG141" s="417"/>
      <c r="AH141" s="40"/>
      <c r="AI141" s="40"/>
      <c r="AJ141" s="40"/>
      <c r="AK141" s="40"/>
      <c r="AL141" s="40"/>
      <c r="AM141" s="40"/>
      <c r="AN141" s="40"/>
      <c r="AO141" s="40"/>
      <c r="AP141" s="40"/>
      <c r="AQ141" s="40"/>
      <c r="AR141" s="40"/>
      <c r="AS141" s="40"/>
      <c r="AT141" s="40"/>
    </row>
    <row r="142" spans="2:46">
      <c r="C142" s="830" t="s">
        <v>83</v>
      </c>
      <c r="D142" s="826"/>
      <c r="E142" s="831"/>
      <c r="F142" s="111"/>
      <c r="P142" s="417"/>
      <c r="Q142" s="417"/>
      <c r="R142" s="417"/>
      <c r="S142" s="417"/>
      <c r="T142" s="417"/>
      <c r="U142" s="417"/>
      <c r="V142" s="417"/>
      <c r="W142" s="417"/>
      <c r="X142" s="417"/>
      <c r="Y142" s="417"/>
      <c r="Z142" s="417"/>
      <c r="AA142" s="417"/>
      <c r="AB142" s="417"/>
      <c r="AC142" s="417"/>
      <c r="AD142" s="417"/>
      <c r="AE142" s="417"/>
      <c r="AF142" s="417"/>
      <c r="AG142" s="417"/>
      <c r="AH142" s="40"/>
      <c r="AI142" s="40"/>
      <c r="AJ142" s="40"/>
      <c r="AK142" s="40"/>
      <c r="AL142" s="40"/>
      <c r="AM142" s="40"/>
      <c r="AN142" s="40"/>
      <c r="AO142" s="40"/>
      <c r="AP142" s="40"/>
      <c r="AQ142" s="40"/>
      <c r="AR142" s="40"/>
      <c r="AS142" s="40"/>
      <c r="AT142" s="40"/>
    </row>
    <row r="143" spans="2:46" ht="32.25" customHeight="1">
      <c r="B143" s="98"/>
      <c r="C143" s="1313" t="s">
        <v>528</v>
      </c>
      <c r="D143" s="1314"/>
      <c r="E143" s="1315"/>
      <c r="F143" s="111"/>
      <c r="P143" s="417"/>
      <c r="Q143" s="417"/>
      <c r="R143" s="417"/>
      <c r="S143" s="417"/>
      <c r="T143" s="417"/>
      <c r="U143" s="417"/>
      <c r="V143" s="417"/>
      <c r="W143" s="417"/>
      <c r="X143" s="417"/>
      <c r="Y143" s="417"/>
      <c r="Z143" s="417"/>
      <c r="AA143" s="417"/>
      <c r="AB143" s="417"/>
      <c r="AC143" s="417"/>
      <c r="AD143" s="417"/>
      <c r="AE143" s="417"/>
      <c r="AF143" s="417"/>
      <c r="AG143" s="417"/>
      <c r="AH143" s="417"/>
      <c r="AI143" s="417"/>
      <c r="AJ143" s="417"/>
      <c r="AK143" s="417"/>
      <c r="AL143" s="417"/>
      <c r="AM143" s="417"/>
      <c r="AN143" s="417"/>
      <c r="AO143" s="417"/>
      <c r="AP143" s="417"/>
      <c r="AQ143" s="417"/>
      <c r="AR143" s="417"/>
      <c r="AS143" s="417"/>
      <c r="AT143" s="417"/>
    </row>
    <row r="144" spans="2:46">
      <c r="C144" s="459" t="str">
        <f>D18 &amp;" 10E: FED SHARE OF EXPS  "</f>
        <v xml:space="preserve">00-0000 10E: FED SHARE OF EXPS  </v>
      </c>
      <c r="D144" s="823"/>
      <c r="E144" s="778">
        <v>0</v>
      </c>
      <c r="F144" s="111" t="str">
        <f>IF(Input!E144&lt;&gt;0,"Add PY IDC Data at cells H101-L112! And input additional rates from PY in cells F87-I89"," ")</f>
        <v xml:space="preserve"> </v>
      </c>
      <c r="P144" s="417"/>
      <c r="Q144" s="417"/>
      <c r="R144" s="417"/>
      <c r="S144" s="417"/>
      <c r="T144" s="417"/>
      <c r="U144" s="417"/>
      <c r="V144" s="417"/>
      <c r="W144" s="417"/>
      <c r="X144" s="417"/>
      <c r="Y144" s="417"/>
      <c r="Z144" s="417"/>
      <c r="AA144" s="417"/>
      <c r="AB144" s="417"/>
      <c r="AC144" s="417"/>
      <c r="AD144" s="417"/>
      <c r="AE144" s="417"/>
      <c r="AF144" s="417"/>
      <c r="AG144" s="417"/>
      <c r="AH144" s="40"/>
      <c r="AI144" s="40"/>
      <c r="AJ144" s="40"/>
      <c r="AK144" s="40"/>
      <c r="AL144" s="40"/>
      <c r="AM144" s="40"/>
      <c r="AN144" s="40"/>
      <c r="AO144" s="40"/>
      <c r="AP144" s="40"/>
      <c r="AQ144" s="40"/>
      <c r="AR144" s="40"/>
      <c r="AS144" s="40"/>
      <c r="AT144" s="40"/>
    </row>
    <row r="145" spans="2:46">
      <c r="C145" s="459" t="str">
        <f>D18 &amp;" 10F: FED SHARE UNLIQUIDATED OBLIGATIONS"</f>
        <v>00-0000 10F: FED SHARE UNLIQUIDATED OBLIGATIONS</v>
      </c>
      <c r="D145" s="613"/>
      <c r="E145" s="778">
        <v>0</v>
      </c>
      <c r="F145" s="111"/>
      <c r="P145" s="417"/>
      <c r="Q145" s="417"/>
      <c r="R145" s="417"/>
      <c r="S145" s="417"/>
      <c r="T145" s="417"/>
      <c r="U145" s="417"/>
      <c r="V145" s="417"/>
      <c r="W145" s="417"/>
      <c r="X145" s="417"/>
      <c r="Y145" s="417"/>
      <c r="Z145" s="417"/>
      <c r="AA145" s="417"/>
      <c r="AB145" s="417"/>
      <c r="AC145" s="417"/>
      <c r="AD145" s="417"/>
      <c r="AE145" s="417"/>
      <c r="AF145" s="417"/>
      <c r="AG145" s="417"/>
      <c r="AH145" s="40"/>
      <c r="AI145" s="40"/>
      <c r="AJ145" s="40"/>
      <c r="AK145" s="40"/>
      <c r="AL145" s="40"/>
      <c r="AM145" s="40"/>
      <c r="AN145" s="40"/>
      <c r="AO145" s="40"/>
      <c r="AP145" s="40"/>
      <c r="AQ145" s="40"/>
      <c r="AR145" s="40"/>
      <c r="AS145" s="40"/>
      <c r="AT145" s="40"/>
    </row>
    <row r="146" spans="2:46">
      <c r="C146" s="459" t="str">
        <f>D18 &amp;" TOTAL FEDERAL SHARE"</f>
        <v>00-0000 TOTAL FEDERAL SHARE</v>
      </c>
      <c r="D146" s="613"/>
      <c r="E146" s="871">
        <f>E144</f>
        <v>0</v>
      </c>
      <c r="F146" s="111"/>
      <c r="P146" s="417"/>
      <c r="Q146" s="417"/>
      <c r="R146" s="417"/>
      <c r="S146" s="417"/>
      <c r="T146" s="417"/>
      <c r="U146" s="417"/>
      <c r="V146" s="417"/>
      <c r="W146" s="417"/>
      <c r="X146" s="417"/>
      <c r="Y146" s="417"/>
      <c r="Z146" s="417"/>
      <c r="AA146" s="417"/>
      <c r="AB146" s="417"/>
      <c r="AC146" s="417"/>
      <c r="AD146" s="417"/>
      <c r="AE146" s="417"/>
      <c r="AF146" s="417"/>
      <c r="AG146" s="417"/>
      <c r="AH146" s="40"/>
      <c r="AI146" s="40"/>
      <c r="AJ146" s="40"/>
      <c r="AK146" s="40"/>
      <c r="AL146" s="40"/>
      <c r="AM146" s="40"/>
      <c r="AN146" s="40"/>
      <c r="AO146" s="40"/>
      <c r="AP146" s="40"/>
      <c r="AQ146" s="40"/>
      <c r="AR146" s="40"/>
      <c r="AS146" s="40"/>
      <c r="AT146" s="40"/>
    </row>
    <row r="147" spans="2:46" ht="18.600000000000001" thickBot="1">
      <c r="C147" s="829" t="str">
        <f>D18 &amp;" 10D:  TOTAL FEDERAL FUNDS AUTHORIZED"</f>
        <v>00-0000 10D:  TOTAL FEDERAL FUNDS AUTHORIZED</v>
      </c>
      <c r="D147" s="464"/>
      <c r="E147" s="779">
        <v>0</v>
      </c>
      <c r="F147" s="111"/>
      <c r="P147" s="417"/>
      <c r="Q147" s="417"/>
      <c r="R147" s="417"/>
      <c r="S147" s="417"/>
      <c r="T147" s="417"/>
      <c r="U147" s="417"/>
      <c r="V147" s="417"/>
      <c r="W147" s="417"/>
      <c r="X147" s="417"/>
      <c r="Y147" s="417"/>
      <c r="Z147" s="417"/>
      <c r="AA147" s="417"/>
      <c r="AB147" s="417"/>
      <c r="AC147" s="417"/>
      <c r="AD147" s="417"/>
      <c r="AE147" s="417"/>
      <c r="AF147" s="417"/>
      <c r="AG147" s="417"/>
      <c r="AH147" s="40"/>
      <c r="AI147" s="40"/>
      <c r="AJ147" s="40"/>
      <c r="AK147" s="40"/>
      <c r="AL147" s="40"/>
      <c r="AM147" s="40"/>
      <c r="AN147" s="40"/>
      <c r="AO147" s="40"/>
      <c r="AP147" s="40"/>
      <c r="AQ147" s="40"/>
      <c r="AR147" s="40"/>
      <c r="AS147" s="40"/>
      <c r="AT147" s="40"/>
    </row>
    <row r="148" spans="2:46">
      <c r="C148" s="1048" t="s">
        <v>550</v>
      </c>
      <c r="D148" s="422"/>
      <c r="E148" s="1046"/>
      <c r="F148" s="111"/>
      <c r="P148" s="417"/>
      <c r="Q148" s="417"/>
      <c r="R148" s="417"/>
      <c r="S148" s="417"/>
      <c r="T148" s="417"/>
      <c r="U148" s="417"/>
      <c r="V148" s="417"/>
      <c r="W148" s="417"/>
      <c r="X148" s="417"/>
      <c r="Y148" s="417"/>
      <c r="Z148" s="417"/>
      <c r="AA148" s="417"/>
      <c r="AB148" s="417"/>
      <c r="AC148" s="417"/>
      <c r="AD148" s="417"/>
      <c r="AE148" s="417"/>
      <c r="AF148" s="417"/>
      <c r="AG148" s="417"/>
      <c r="AH148" s="417"/>
      <c r="AI148" s="417"/>
      <c r="AJ148" s="417"/>
      <c r="AK148" s="417"/>
      <c r="AL148" s="417"/>
      <c r="AM148" s="417"/>
      <c r="AN148" s="417"/>
      <c r="AO148" s="417"/>
      <c r="AP148" s="417"/>
      <c r="AQ148" s="417"/>
      <c r="AR148" s="417"/>
      <c r="AS148" s="417"/>
      <c r="AT148" s="417"/>
    </row>
    <row r="149" spans="2:46">
      <c r="C149" s="614"/>
      <c r="D149" s="422"/>
      <c r="E149" s="615"/>
      <c r="G149"/>
      <c r="H149"/>
      <c r="I149"/>
      <c r="P149" s="417"/>
      <c r="Q149" s="417"/>
      <c r="R149" s="417"/>
      <c r="S149" s="417"/>
      <c r="T149" s="417"/>
      <c r="U149" s="417"/>
      <c r="V149" s="417"/>
      <c r="W149" s="417"/>
      <c r="X149" s="417"/>
      <c r="Y149" s="417"/>
      <c r="Z149" s="417"/>
      <c r="AA149" s="417"/>
      <c r="AB149" s="417"/>
      <c r="AC149" s="417"/>
      <c r="AD149" s="417"/>
      <c r="AE149" s="417"/>
      <c r="AF149" s="417"/>
      <c r="AG149" s="417"/>
      <c r="AH149" s="40"/>
      <c r="AI149" s="40"/>
      <c r="AJ149" s="40"/>
      <c r="AK149" s="40"/>
      <c r="AL149" s="40"/>
      <c r="AM149" s="40"/>
      <c r="AN149" s="40"/>
      <c r="AO149" s="40"/>
      <c r="AP149" s="40"/>
      <c r="AQ149" s="40"/>
      <c r="AR149" s="40"/>
      <c r="AS149" s="40"/>
      <c r="AT149" s="40"/>
    </row>
    <row r="150" spans="2:46">
      <c r="C150" s="793" t="s">
        <v>84</v>
      </c>
      <c r="D150" s="789"/>
      <c r="E150" s="789"/>
      <c r="G150" s="620"/>
      <c r="P150" s="417"/>
      <c r="Q150" s="417"/>
      <c r="R150" s="417"/>
      <c r="S150" s="417"/>
      <c r="T150" s="417"/>
      <c r="U150" s="417"/>
      <c r="V150" s="417"/>
      <c r="W150" s="417"/>
      <c r="X150" s="417"/>
      <c r="Y150" s="417"/>
      <c r="Z150" s="417"/>
      <c r="AA150" s="417"/>
      <c r="AB150" s="417"/>
      <c r="AC150" s="417"/>
      <c r="AD150" s="417"/>
      <c r="AE150" s="417"/>
      <c r="AF150" s="417"/>
      <c r="AG150" s="417"/>
      <c r="AH150" s="40"/>
      <c r="AI150" s="40"/>
      <c r="AJ150" s="40"/>
      <c r="AK150" s="40"/>
      <c r="AL150" s="40"/>
      <c r="AM150" s="40"/>
      <c r="AN150" s="40"/>
      <c r="AO150" s="40"/>
      <c r="AP150" s="40"/>
      <c r="AQ150" s="40"/>
      <c r="AR150" s="40"/>
      <c r="AS150" s="40"/>
      <c r="AT150" s="40"/>
    </row>
    <row r="151" spans="2:46" hidden="1" outlineLevel="1">
      <c r="C151" s="794" t="s">
        <v>85</v>
      </c>
      <c r="D151" s="460"/>
      <c r="E151" s="760">
        <v>0</v>
      </c>
      <c r="P151" s="417"/>
      <c r="Q151" s="417"/>
      <c r="R151" s="417"/>
      <c r="S151" s="417"/>
      <c r="T151" s="417"/>
      <c r="U151" s="417"/>
      <c r="V151" s="417"/>
      <c r="W151" s="417"/>
      <c r="X151" s="417"/>
      <c r="Y151" s="417"/>
      <c r="Z151" s="417"/>
      <c r="AA151" s="417"/>
      <c r="AB151" s="417"/>
      <c r="AC151" s="417"/>
      <c r="AD151" s="417"/>
      <c r="AE151" s="417"/>
      <c r="AF151" s="417"/>
      <c r="AG151" s="417"/>
      <c r="AH151" s="40"/>
      <c r="AI151" s="40"/>
      <c r="AJ151" s="40"/>
      <c r="AK151" s="40"/>
      <c r="AL151" s="40"/>
      <c r="AM151" s="40"/>
      <c r="AN151" s="40"/>
      <c r="AO151" s="40"/>
      <c r="AP151" s="40"/>
      <c r="AQ151" s="40"/>
      <c r="AR151" s="40"/>
      <c r="AS151" s="40"/>
      <c r="AT151" s="40"/>
    </row>
    <row r="152" spans="2:46" hidden="1" outlineLevel="1">
      <c r="C152" s="799" t="s">
        <v>86</v>
      </c>
      <c r="D152" s="613"/>
      <c r="E152" s="760">
        <v>0</v>
      </c>
      <c r="P152" s="417"/>
      <c r="Q152" s="417"/>
      <c r="R152" s="417"/>
      <c r="S152" s="417"/>
      <c r="T152" s="417"/>
      <c r="U152" s="417"/>
      <c r="V152" s="417"/>
      <c r="W152" s="417"/>
      <c r="X152" s="417"/>
      <c r="Y152" s="417"/>
      <c r="Z152" s="417"/>
      <c r="AA152" s="417"/>
      <c r="AB152" s="417"/>
      <c r="AC152" s="417"/>
      <c r="AD152" s="417"/>
      <c r="AE152" s="417"/>
      <c r="AF152" s="417"/>
      <c r="AG152" s="417"/>
      <c r="AH152" s="40"/>
      <c r="AI152" s="40"/>
      <c r="AJ152" s="40"/>
      <c r="AK152" s="40"/>
      <c r="AL152" s="40"/>
      <c r="AM152" s="40"/>
      <c r="AN152" s="40"/>
      <c r="AO152" s="40"/>
      <c r="AP152" s="40"/>
      <c r="AQ152" s="40"/>
      <c r="AR152" s="40"/>
      <c r="AS152" s="40"/>
      <c r="AT152" s="40"/>
    </row>
    <row r="153" spans="2:46" hidden="1" outlineLevel="1">
      <c r="C153" s="794" t="s">
        <v>87</v>
      </c>
      <c r="D153" s="460"/>
      <c r="E153" s="795">
        <f>E151-E152</f>
        <v>0</v>
      </c>
      <c r="P153" s="417"/>
      <c r="Q153" s="417"/>
      <c r="R153" s="417"/>
      <c r="S153" s="417"/>
      <c r="T153" s="417"/>
      <c r="U153" s="417"/>
      <c r="V153" s="417"/>
      <c r="W153" s="417"/>
      <c r="X153" s="417"/>
      <c r="Y153" s="417"/>
      <c r="Z153" s="417"/>
      <c r="AA153" s="417"/>
      <c r="AB153" s="417"/>
      <c r="AC153" s="417"/>
      <c r="AD153" s="417"/>
      <c r="AE153" s="417"/>
      <c r="AF153" s="417"/>
      <c r="AG153" s="417"/>
      <c r="AH153" s="40"/>
      <c r="AI153" s="40"/>
      <c r="AJ153" s="40"/>
      <c r="AK153" s="40"/>
      <c r="AL153" s="40"/>
      <c r="AM153" s="40"/>
      <c r="AN153" s="40"/>
      <c r="AO153" s="40"/>
      <c r="AP153" s="40"/>
      <c r="AQ153" s="40"/>
      <c r="AR153" s="40"/>
      <c r="AS153" s="40"/>
      <c r="AT153" s="40"/>
    </row>
    <row r="154" spans="2:46" collapsed="1">
      <c r="C154" s="461"/>
      <c r="D154" s="422"/>
      <c r="E154" s="465"/>
      <c r="P154" s="417"/>
      <c r="Q154" s="417"/>
      <c r="R154" s="417"/>
      <c r="S154" s="417"/>
      <c r="T154" s="417"/>
      <c r="U154" s="417"/>
      <c r="V154" s="417"/>
      <c r="W154" s="417"/>
      <c r="X154" s="417"/>
      <c r="Y154" s="417"/>
      <c r="Z154" s="417"/>
      <c r="AA154" s="417"/>
      <c r="AB154" s="417"/>
      <c r="AC154" s="417"/>
      <c r="AD154" s="417"/>
      <c r="AE154" s="417"/>
      <c r="AF154" s="417"/>
      <c r="AG154" s="417"/>
      <c r="AH154" s="40"/>
      <c r="AI154" s="40"/>
      <c r="AJ154" s="40"/>
      <c r="AK154" s="40"/>
      <c r="AL154" s="40"/>
      <c r="AM154" s="40"/>
      <c r="AN154" s="40"/>
      <c r="AO154" s="40"/>
      <c r="AP154" s="40"/>
      <c r="AQ154" s="40"/>
      <c r="AR154" s="40"/>
      <c r="AS154" s="40"/>
      <c r="AT154" s="40"/>
    </row>
    <row r="155" spans="2:46" ht="15.6">
      <c r="C155" s="1326" t="s">
        <v>88</v>
      </c>
      <c r="D155" s="1326"/>
      <c r="E155" s="1326"/>
      <c r="P155" s="417"/>
      <c r="Q155" s="417"/>
      <c r="R155" s="417"/>
      <c r="S155" s="417"/>
      <c r="T155" s="417"/>
      <c r="U155" s="417"/>
      <c r="V155" s="417"/>
      <c r="W155" s="417"/>
      <c r="X155" s="417"/>
      <c r="Y155" s="417"/>
      <c r="Z155" s="417"/>
      <c r="AA155" s="417"/>
      <c r="AB155" s="417"/>
      <c r="AC155" s="417"/>
      <c r="AD155" s="417"/>
      <c r="AE155" s="417"/>
      <c r="AF155" s="417"/>
      <c r="AG155" s="417"/>
      <c r="AH155" s="40"/>
      <c r="AI155" s="40"/>
      <c r="AJ155" s="40"/>
      <c r="AK155" s="40"/>
      <c r="AL155" s="40"/>
      <c r="AM155" s="40"/>
      <c r="AN155" s="40"/>
      <c r="AO155" s="40"/>
      <c r="AP155" s="40"/>
      <c r="AQ155" s="40"/>
      <c r="AR155" s="40"/>
      <c r="AS155" s="40"/>
      <c r="AT155" s="40"/>
    </row>
    <row r="156" spans="2:46" ht="33" customHeight="1" outlineLevel="1">
      <c r="B156" s="98"/>
      <c r="C156" s="1312" t="s">
        <v>527</v>
      </c>
      <c r="D156" s="1312"/>
      <c r="E156" s="1312"/>
      <c r="P156" s="417"/>
      <c r="Q156" s="417"/>
      <c r="R156" s="417"/>
      <c r="S156" s="417"/>
      <c r="T156" s="417"/>
      <c r="U156" s="417"/>
      <c r="V156" s="417"/>
      <c r="W156" s="417"/>
      <c r="X156" s="417"/>
      <c r="Y156" s="417"/>
      <c r="Z156" s="417"/>
      <c r="AA156" s="417"/>
      <c r="AB156" s="417"/>
      <c r="AC156" s="417"/>
      <c r="AD156" s="417"/>
      <c r="AE156" s="417"/>
      <c r="AF156" s="417"/>
      <c r="AG156" s="417"/>
      <c r="AH156" s="40"/>
      <c r="AI156" s="40"/>
      <c r="AJ156" s="40"/>
      <c r="AK156" s="40"/>
      <c r="AL156" s="40"/>
      <c r="AM156" s="40"/>
      <c r="AN156" s="40"/>
      <c r="AO156" s="40"/>
      <c r="AP156" s="40"/>
      <c r="AQ156" s="40"/>
      <c r="AR156" s="40"/>
      <c r="AS156" s="40"/>
      <c r="AT156" s="40"/>
    </row>
    <row r="157" spans="2:46" s="1059" customFormat="1" ht="19.5" customHeight="1" outlineLevel="1">
      <c r="C157" s="1064" t="s">
        <v>553</v>
      </c>
      <c r="D157" s="1062"/>
      <c r="E157" s="1063"/>
      <c r="P157" s="1060"/>
      <c r="Q157" s="1060"/>
      <c r="R157" s="1060"/>
      <c r="S157" s="1060"/>
      <c r="T157" s="1060"/>
      <c r="U157" s="1060"/>
      <c r="V157" s="1060"/>
      <c r="W157" s="1060"/>
      <c r="X157" s="1060"/>
      <c r="Y157" s="1060"/>
      <c r="Z157" s="1060"/>
      <c r="AA157" s="1060"/>
      <c r="AB157" s="1060"/>
      <c r="AC157" s="1060"/>
      <c r="AD157" s="1060"/>
      <c r="AE157" s="1060"/>
      <c r="AF157" s="1060"/>
      <c r="AG157" s="1060"/>
      <c r="AH157" s="1061"/>
      <c r="AI157" s="1061"/>
      <c r="AJ157" s="1061"/>
      <c r="AK157" s="1061"/>
      <c r="AL157" s="1061"/>
      <c r="AM157" s="1061"/>
      <c r="AN157" s="1061"/>
      <c r="AO157" s="1061"/>
      <c r="AP157" s="1061"/>
      <c r="AQ157" s="1061"/>
      <c r="AR157" s="1061"/>
      <c r="AS157" s="1061"/>
      <c r="AT157" s="1061"/>
    </row>
    <row r="158" spans="2:46" outlineLevel="1">
      <c r="C158" s="790" t="str">
        <f>D18 &amp;"  10I: RECIPIENT SHARE REQUIRED"</f>
        <v>00-0000  10I: RECIPIENT SHARE REQUIRED</v>
      </c>
      <c r="D158" s="791"/>
      <c r="E158" s="792">
        <v>0</v>
      </c>
      <c r="G158" s="458"/>
      <c r="P158" s="417"/>
      <c r="Q158" s="417"/>
      <c r="R158" s="417"/>
      <c r="S158" s="417"/>
      <c r="T158" s="417"/>
      <c r="U158" s="417"/>
      <c r="V158" s="417"/>
      <c r="W158" s="417"/>
      <c r="X158" s="417"/>
      <c r="Y158" s="417"/>
      <c r="Z158" s="417"/>
      <c r="AA158" s="417"/>
      <c r="AB158" s="417"/>
      <c r="AC158" s="417"/>
      <c r="AD158" s="417"/>
      <c r="AE158" s="417"/>
      <c r="AF158" s="417"/>
      <c r="AG158" s="417"/>
      <c r="AH158" s="40"/>
      <c r="AI158" s="40"/>
      <c r="AJ158" s="40"/>
      <c r="AK158" s="40"/>
      <c r="AL158" s="40"/>
      <c r="AM158" s="40"/>
      <c r="AN158" s="40"/>
      <c r="AO158" s="40"/>
      <c r="AP158" s="40"/>
      <c r="AQ158" s="40"/>
      <c r="AR158" s="40"/>
      <c r="AS158" s="40"/>
      <c r="AT158" s="40"/>
    </row>
    <row r="159" spans="2:46" outlineLevel="1">
      <c r="C159" s="790" t="str">
        <f>D18 &amp;"  10J: RECIPIENT SHARE OF EXPS"</f>
        <v>00-0000  10J: RECIPIENT SHARE OF EXPS</v>
      </c>
      <c r="D159" s="791"/>
      <c r="E159" s="792">
        <v>0</v>
      </c>
      <c r="F159" s="821"/>
      <c r="G159" s="458"/>
      <c r="P159" s="417"/>
      <c r="Q159" s="417"/>
      <c r="R159" s="417"/>
      <c r="S159" s="417"/>
      <c r="T159" s="417"/>
      <c r="U159" s="417"/>
      <c r="V159" s="417"/>
      <c r="W159" s="417"/>
      <c r="X159" s="417"/>
      <c r="Y159" s="417"/>
      <c r="Z159" s="417"/>
      <c r="AA159" s="417"/>
      <c r="AB159" s="417"/>
      <c r="AC159" s="417"/>
      <c r="AD159" s="417"/>
      <c r="AE159" s="417"/>
      <c r="AF159" s="417"/>
      <c r="AG159" s="417"/>
      <c r="AH159" s="40"/>
      <c r="AI159" s="40"/>
      <c r="AJ159" s="40"/>
      <c r="AK159" s="40"/>
      <c r="AL159" s="40"/>
      <c r="AM159" s="40"/>
      <c r="AN159" s="40"/>
      <c r="AO159" s="40"/>
      <c r="AP159" s="40"/>
      <c r="AQ159" s="40"/>
      <c r="AR159" s="40"/>
      <c r="AS159" s="40"/>
      <c r="AT159" s="40"/>
    </row>
    <row r="160" spans="2:46" s="98" customFormat="1" outlineLevel="1">
      <c r="C160" s="1064" t="s">
        <v>552</v>
      </c>
      <c r="D160" s="1065"/>
      <c r="E160" s="1066"/>
      <c r="F160" s="1057"/>
      <c r="G160" s="1058"/>
      <c r="P160" s="441"/>
      <c r="Q160" s="441"/>
      <c r="R160" s="441"/>
      <c r="S160" s="441"/>
      <c r="T160" s="441"/>
      <c r="U160" s="441"/>
      <c r="V160" s="441"/>
      <c r="W160" s="441"/>
      <c r="X160" s="441"/>
      <c r="Y160" s="441"/>
      <c r="Z160" s="441"/>
      <c r="AA160" s="441"/>
      <c r="AB160" s="441"/>
      <c r="AC160" s="441"/>
      <c r="AD160" s="441"/>
      <c r="AE160" s="441"/>
      <c r="AF160" s="441"/>
      <c r="AG160" s="441"/>
      <c r="AH160" s="102"/>
      <c r="AI160" s="102"/>
      <c r="AJ160" s="102"/>
      <c r="AK160" s="102"/>
      <c r="AL160" s="102"/>
      <c r="AM160" s="102"/>
      <c r="AN160" s="102"/>
      <c r="AO160" s="102"/>
      <c r="AP160" s="102"/>
      <c r="AQ160" s="102"/>
      <c r="AR160" s="102"/>
      <c r="AS160" s="102"/>
      <c r="AT160" s="102"/>
    </row>
    <row r="161" spans="1:46" outlineLevel="1">
      <c r="C161" s="822" t="str">
        <f>D16 &amp;"  EFECS PLEDGE"</f>
        <v>62-7032  EFECS PLEDGE</v>
      </c>
      <c r="D161" s="613"/>
      <c r="E161" s="792">
        <v>0</v>
      </c>
      <c r="P161" s="417"/>
      <c r="Q161" s="417"/>
      <c r="R161" s="417"/>
      <c r="S161" s="417"/>
      <c r="T161" s="417"/>
      <c r="U161" s="417"/>
      <c r="V161" s="417"/>
      <c r="W161" s="417"/>
      <c r="X161" s="417"/>
      <c r="Y161" s="417"/>
      <c r="Z161" s="417"/>
      <c r="AA161" s="417"/>
      <c r="AB161" s="417"/>
      <c r="AC161" s="417"/>
      <c r="AD161" s="417"/>
      <c r="AE161" s="417"/>
      <c r="AF161" s="417"/>
      <c r="AG161" s="417"/>
      <c r="AH161" s="40"/>
      <c r="AI161" s="40"/>
      <c r="AJ161" s="40"/>
      <c r="AK161" s="40"/>
      <c r="AL161" s="40"/>
      <c r="AM161" s="40"/>
      <c r="AN161" s="40"/>
      <c r="AO161" s="40"/>
      <c r="AP161" s="40"/>
      <c r="AQ161" s="40"/>
      <c r="AR161" s="40"/>
      <c r="AS161" s="40"/>
      <c r="AT161" s="40"/>
    </row>
    <row r="162" spans="1:46" outlineLevel="1">
      <c r="C162" s="822" t="str">
        <f>D16 &amp;"  EFECS ACTUAL"</f>
        <v>62-7032  EFECS ACTUAL</v>
      </c>
      <c r="D162" s="613"/>
      <c r="E162" s="792">
        <v>0</v>
      </c>
      <c r="P162" s="417"/>
      <c r="Q162" s="417"/>
      <c r="R162" s="417"/>
      <c r="S162" s="417"/>
      <c r="T162" s="417"/>
      <c r="U162" s="417"/>
      <c r="V162" s="417"/>
      <c r="W162" s="417"/>
      <c r="X162" s="417"/>
      <c r="Y162" s="417"/>
      <c r="Z162" s="417"/>
      <c r="AA162" s="417"/>
      <c r="AB162" s="417"/>
      <c r="AC162" s="417"/>
      <c r="AD162" s="417"/>
      <c r="AE162" s="417"/>
      <c r="AF162" s="417"/>
      <c r="AG162" s="417"/>
      <c r="AH162" s="40"/>
      <c r="AI162" s="40"/>
      <c r="AJ162" s="40"/>
      <c r="AK162" s="40"/>
      <c r="AL162" s="40"/>
      <c r="AM162" s="40"/>
      <c r="AN162" s="40"/>
      <c r="AO162" s="40"/>
      <c r="AP162" s="40"/>
      <c r="AQ162" s="40"/>
      <c r="AR162" s="40"/>
      <c r="AS162" s="40"/>
      <c r="AT162" s="40"/>
    </row>
    <row r="163" spans="1:46">
      <c r="C163" s="461"/>
      <c r="D163" s="422"/>
      <c r="E163" s="465"/>
      <c r="P163" s="417"/>
      <c r="Q163" s="417"/>
      <c r="R163" s="417"/>
      <c r="S163" s="417"/>
      <c r="T163" s="417"/>
      <c r="U163" s="417"/>
      <c r="V163" s="417"/>
      <c r="W163" s="417"/>
      <c r="X163" s="417"/>
      <c r="Y163" s="417"/>
      <c r="Z163" s="417"/>
      <c r="AA163" s="417"/>
      <c r="AB163" s="417"/>
      <c r="AC163" s="417"/>
      <c r="AD163" s="417"/>
      <c r="AE163" s="417"/>
      <c r="AF163" s="417"/>
      <c r="AG163" s="417"/>
      <c r="AH163" s="40"/>
      <c r="AI163" s="40"/>
      <c r="AJ163" s="40"/>
      <c r="AK163" s="40"/>
      <c r="AL163" s="40"/>
      <c r="AM163" s="40"/>
      <c r="AN163" s="40"/>
      <c r="AO163" s="40"/>
      <c r="AP163" s="40"/>
      <c r="AQ163" s="40"/>
      <c r="AR163" s="40"/>
      <c r="AS163" s="40"/>
      <c r="AT163" s="40"/>
    </row>
    <row r="164" spans="1:46" ht="15.6">
      <c r="C164" s="1326" t="s">
        <v>544</v>
      </c>
      <c r="D164" s="1326"/>
      <c r="E164" s="1326"/>
      <c r="P164" s="417"/>
      <c r="Q164" s="417"/>
      <c r="R164" s="417"/>
      <c r="S164" s="417"/>
      <c r="T164" s="417"/>
      <c r="U164" s="417"/>
      <c r="V164" s="417"/>
      <c r="W164" s="417"/>
      <c r="X164" s="417"/>
      <c r="Y164" s="417"/>
      <c r="Z164" s="417"/>
      <c r="AA164" s="417"/>
      <c r="AB164" s="417"/>
      <c r="AC164" s="417"/>
      <c r="AD164" s="417"/>
      <c r="AE164" s="417"/>
      <c r="AF164" s="417"/>
      <c r="AG164" s="417"/>
      <c r="AH164" s="40"/>
      <c r="AI164" s="40"/>
      <c r="AJ164" s="40"/>
      <c r="AK164" s="40"/>
      <c r="AL164" s="40"/>
      <c r="AM164" s="40"/>
      <c r="AN164" s="40"/>
      <c r="AO164" s="40"/>
      <c r="AP164" s="40"/>
      <c r="AQ164" s="40"/>
      <c r="AR164" s="40"/>
      <c r="AS164" s="40"/>
      <c r="AT164" s="40"/>
    </row>
    <row r="165" spans="1:46" ht="15.6" hidden="1" outlineLevel="1">
      <c r="A165" s="98"/>
      <c r="B165" s="98"/>
      <c r="C165" s="441"/>
      <c r="D165" s="441"/>
      <c r="E165" s="441"/>
      <c r="F165" s="453"/>
      <c r="P165" s="417"/>
      <c r="Q165" s="417"/>
      <c r="R165" s="417"/>
      <c r="S165" s="417"/>
      <c r="T165" s="417"/>
      <c r="U165" s="417"/>
      <c r="V165" s="417"/>
      <c r="W165" s="417"/>
      <c r="X165" s="417"/>
      <c r="Y165" s="417"/>
      <c r="Z165" s="417"/>
      <c r="AA165" s="417"/>
      <c r="AB165" s="417"/>
      <c r="AC165" s="417"/>
      <c r="AD165" s="417"/>
      <c r="AE165" s="417"/>
      <c r="AF165" s="417"/>
      <c r="AG165" s="417"/>
      <c r="AH165" s="40"/>
      <c r="AI165" s="40"/>
      <c r="AJ165" s="40"/>
      <c r="AK165" s="40"/>
      <c r="AL165" s="40"/>
      <c r="AM165" s="40"/>
      <c r="AN165" s="40"/>
      <c r="AO165" s="40"/>
      <c r="AP165" s="40"/>
      <c r="AQ165" s="40"/>
      <c r="AR165" s="40"/>
      <c r="AS165" s="40"/>
      <c r="AT165" s="40"/>
    </row>
    <row r="166" spans="1:46" hidden="1" outlineLevel="1">
      <c r="A166" s="98"/>
      <c r="B166" s="98"/>
      <c r="C166" s="467" t="s">
        <v>408</v>
      </c>
      <c r="D166" s="468"/>
      <c r="E166" s="1038" t="str">
        <f>D16</f>
        <v>62-7032</v>
      </c>
      <c r="F166" s="453"/>
      <c r="P166" s="417"/>
      <c r="Q166" s="417"/>
      <c r="R166" s="417"/>
      <c r="S166" s="417"/>
      <c r="T166" s="417"/>
      <c r="U166" s="417"/>
      <c r="V166" s="417"/>
      <c r="W166" s="417"/>
      <c r="X166" s="417"/>
      <c r="Y166" s="417"/>
      <c r="Z166" s="417"/>
      <c r="AA166" s="417"/>
      <c r="AB166" s="417"/>
      <c r="AC166" s="417"/>
      <c r="AD166" s="417"/>
      <c r="AE166" s="417"/>
      <c r="AF166" s="417"/>
      <c r="AG166" s="417"/>
      <c r="AH166" s="40"/>
      <c r="AI166" s="40"/>
      <c r="AJ166" s="40"/>
      <c r="AK166" s="40"/>
      <c r="AL166" s="40"/>
      <c r="AM166" s="40"/>
      <c r="AN166" s="40"/>
      <c r="AO166" s="40"/>
      <c r="AP166" s="40"/>
      <c r="AQ166" s="40"/>
      <c r="AR166" s="40"/>
      <c r="AS166" s="40"/>
      <c r="AT166" s="40"/>
    </row>
    <row r="167" spans="1:46" hidden="1" outlineLevel="1">
      <c r="A167" s="98"/>
      <c r="B167" s="98"/>
      <c r="C167" s="467" t="s">
        <v>93</v>
      </c>
      <c r="D167" s="468"/>
      <c r="E167" s="1039">
        <f>D23</f>
        <v>42277</v>
      </c>
      <c r="F167" s="453"/>
      <c r="P167" s="417"/>
      <c r="Q167" s="417"/>
      <c r="R167" s="417"/>
      <c r="S167" s="417"/>
      <c r="T167" s="417"/>
      <c r="U167" s="417"/>
      <c r="V167" s="417"/>
      <c r="W167" s="417"/>
      <c r="X167" s="417"/>
      <c r="Y167" s="417"/>
      <c r="Z167" s="417"/>
      <c r="AA167" s="417"/>
      <c r="AB167" s="417"/>
      <c r="AC167" s="417"/>
      <c r="AD167" s="417"/>
      <c r="AE167" s="417"/>
      <c r="AF167" s="417"/>
      <c r="AG167" s="417"/>
      <c r="AH167" s="40"/>
      <c r="AI167" s="40"/>
      <c r="AJ167" s="40"/>
      <c r="AK167" s="40"/>
      <c r="AL167" s="40"/>
      <c r="AM167" s="40"/>
      <c r="AN167" s="40"/>
      <c r="AO167" s="40"/>
      <c r="AP167" s="40"/>
      <c r="AQ167" s="40"/>
      <c r="AR167" s="40"/>
      <c r="AS167" s="40"/>
      <c r="AT167" s="40"/>
    </row>
    <row r="168" spans="1:46" hidden="1" outlineLevel="1">
      <c r="A168" s="98"/>
      <c r="B168" s="98"/>
      <c r="C168" s="467" t="s">
        <v>94</v>
      </c>
      <c r="D168" s="468"/>
      <c r="E168" s="1039">
        <f>D24</f>
        <v>42613</v>
      </c>
      <c r="F168" s="453"/>
      <c r="P168" s="417"/>
      <c r="Q168" s="417"/>
      <c r="R168" s="417"/>
      <c r="S168" s="417"/>
      <c r="T168" s="417"/>
      <c r="U168" s="417"/>
      <c r="V168" s="417"/>
      <c r="W168" s="417"/>
      <c r="X168" s="417"/>
      <c r="Y168" s="417"/>
      <c r="Z168" s="417"/>
      <c r="AA168" s="417"/>
      <c r="AB168" s="417"/>
      <c r="AC168" s="417"/>
      <c r="AD168" s="417"/>
      <c r="AE168" s="417"/>
      <c r="AF168" s="417"/>
      <c r="AG168" s="417"/>
      <c r="AH168" s="40"/>
      <c r="AI168" s="40"/>
      <c r="AJ168" s="40"/>
      <c r="AK168" s="40"/>
      <c r="AL168" s="40"/>
      <c r="AM168" s="40"/>
      <c r="AN168" s="40"/>
      <c r="AO168" s="40"/>
      <c r="AP168" s="40"/>
      <c r="AQ168" s="40"/>
      <c r="AR168" s="40"/>
      <c r="AS168" s="40"/>
      <c r="AT168" s="40"/>
    </row>
    <row r="169" spans="1:46" hidden="1" outlineLevel="1">
      <c r="A169" s="98"/>
      <c r="B169" s="98"/>
      <c r="C169" s="467" t="s">
        <v>95</v>
      </c>
      <c r="D169" s="468"/>
      <c r="E169" s="1040">
        <f>D19</f>
        <v>0.08</v>
      </c>
      <c r="F169" s="453"/>
      <c r="P169" s="417"/>
      <c r="Q169" s="417"/>
      <c r="R169" s="417"/>
      <c r="S169" s="417"/>
      <c r="T169" s="417"/>
      <c r="U169" s="417"/>
      <c r="V169" s="417"/>
      <c r="W169" s="417"/>
      <c r="X169" s="417"/>
      <c r="Y169" s="417"/>
      <c r="Z169" s="417"/>
      <c r="AA169" s="417"/>
      <c r="AB169" s="417"/>
      <c r="AC169" s="417"/>
      <c r="AD169" s="417"/>
      <c r="AE169" s="417"/>
      <c r="AF169" s="417"/>
      <c r="AG169" s="417"/>
      <c r="AH169" s="40"/>
      <c r="AI169" s="40"/>
      <c r="AJ169" s="40"/>
      <c r="AK169" s="40"/>
      <c r="AL169" s="40"/>
      <c r="AM169" s="40"/>
      <c r="AN169" s="40"/>
      <c r="AO169" s="40"/>
      <c r="AP169" s="40"/>
      <c r="AQ169" s="40"/>
      <c r="AR169" s="40"/>
      <c r="AS169" s="40"/>
      <c r="AT169" s="40"/>
    </row>
    <row r="170" spans="1:46" ht="15.6" hidden="1" outlineLevel="1">
      <c r="A170" s="98"/>
      <c r="B170" s="98"/>
      <c r="C170" s="441"/>
      <c r="D170" s="441"/>
      <c r="E170" s="441"/>
      <c r="F170" s="453"/>
      <c r="P170" s="417"/>
      <c r="Q170" s="417"/>
      <c r="R170" s="417"/>
      <c r="S170" s="417"/>
      <c r="T170" s="417"/>
      <c r="U170" s="417"/>
      <c r="V170" s="417"/>
      <c r="W170" s="417"/>
      <c r="X170" s="417"/>
      <c r="Y170" s="417"/>
      <c r="Z170" s="417"/>
      <c r="AA170" s="417"/>
      <c r="AB170" s="417"/>
      <c r="AC170" s="417"/>
      <c r="AD170" s="417"/>
      <c r="AE170" s="417"/>
      <c r="AF170" s="417"/>
      <c r="AG170" s="417"/>
      <c r="AH170" s="40"/>
      <c r="AI170" s="40"/>
      <c r="AJ170" s="40"/>
      <c r="AK170" s="40"/>
      <c r="AL170" s="40"/>
      <c r="AM170" s="40"/>
      <c r="AN170" s="40"/>
      <c r="AO170" s="40"/>
      <c r="AP170" s="40"/>
      <c r="AQ170" s="40"/>
      <c r="AR170" s="40"/>
      <c r="AS170" s="40"/>
      <c r="AT170" s="40"/>
    </row>
    <row r="171" spans="1:46" ht="25.8" hidden="1" outlineLevel="1">
      <c r="A171" s="98"/>
      <c r="B171" s="98"/>
      <c r="C171" s="441"/>
      <c r="D171" s="470" t="s">
        <v>409</v>
      </c>
      <c r="E171" s="1041" t="s">
        <v>92</v>
      </c>
      <c r="F171" s="453"/>
      <c r="P171" s="417"/>
      <c r="Q171" s="417"/>
      <c r="R171" s="417"/>
      <c r="S171" s="417"/>
      <c r="T171" s="417"/>
      <c r="U171" s="417"/>
      <c r="V171" s="417"/>
      <c r="W171" s="417"/>
      <c r="X171" s="417"/>
      <c r="Y171" s="417"/>
      <c r="Z171" s="417"/>
      <c r="AA171" s="417"/>
      <c r="AB171" s="417"/>
      <c r="AC171" s="417"/>
      <c r="AD171" s="417"/>
      <c r="AE171" s="417"/>
      <c r="AF171" s="417"/>
      <c r="AG171" s="417"/>
      <c r="AH171" s="40"/>
      <c r="AI171" s="40"/>
      <c r="AJ171" s="40"/>
      <c r="AK171" s="40"/>
      <c r="AL171" s="40"/>
      <c r="AM171" s="40"/>
      <c r="AN171" s="40"/>
      <c r="AO171" s="40"/>
      <c r="AP171" s="40"/>
      <c r="AQ171" s="40"/>
      <c r="AR171" s="40"/>
      <c r="AS171" s="40"/>
      <c r="AT171" s="40"/>
    </row>
    <row r="172" spans="1:46" ht="15.6" hidden="1" outlineLevel="1">
      <c r="A172" s="98"/>
      <c r="B172" s="98"/>
      <c r="C172" s="441"/>
      <c r="D172" s="441"/>
      <c r="E172" s="441"/>
      <c r="F172" s="453"/>
      <c r="P172" s="417"/>
      <c r="Q172" s="417"/>
      <c r="R172" s="417"/>
      <c r="S172" s="417"/>
      <c r="T172" s="417"/>
      <c r="U172" s="417"/>
      <c r="V172" s="417"/>
      <c r="W172" s="417"/>
      <c r="X172" s="417"/>
      <c r="Y172" s="417"/>
      <c r="Z172" s="417"/>
      <c r="AA172" s="417"/>
      <c r="AB172" s="417"/>
      <c r="AC172" s="417"/>
      <c r="AD172" s="417"/>
      <c r="AE172" s="417"/>
      <c r="AF172" s="417"/>
      <c r="AG172" s="417"/>
      <c r="AH172" s="40"/>
      <c r="AI172" s="40"/>
      <c r="AJ172" s="40"/>
      <c r="AK172" s="40"/>
      <c r="AL172" s="40"/>
      <c r="AM172" s="40"/>
      <c r="AN172" s="40"/>
      <c r="AO172" s="40"/>
      <c r="AP172" s="40"/>
      <c r="AQ172" s="40"/>
      <c r="AR172" s="40"/>
      <c r="AS172" s="40"/>
      <c r="AT172" s="40"/>
    </row>
    <row r="173" spans="1:46" hidden="1" outlineLevel="1">
      <c r="A173" s="98"/>
      <c r="B173" s="98"/>
      <c r="C173" s="105" t="s">
        <v>96</v>
      </c>
      <c r="D173" s="422">
        <f>E172</f>
        <v>0</v>
      </c>
      <c r="E173" s="441"/>
      <c r="F173" s="453"/>
      <c r="P173" s="417"/>
      <c r="Q173" s="417"/>
      <c r="R173" s="417"/>
      <c r="S173" s="417"/>
      <c r="T173" s="417"/>
      <c r="U173" s="417"/>
      <c r="V173" s="417"/>
      <c r="W173" s="417"/>
      <c r="X173" s="417"/>
      <c r="Y173" s="417"/>
      <c r="Z173" s="417"/>
      <c r="AA173" s="417"/>
      <c r="AB173" s="417"/>
      <c r="AC173" s="417"/>
      <c r="AD173" s="417"/>
      <c r="AE173" s="417"/>
      <c r="AF173" s="417"/>
      <c r="AG173" s="417"/>
      <c r="AH173" s="40"/>
      <c r="AI173" s="40"/>
      <c r="AJ173" s="40"/>
      <c r="AK173" s="40"/>
      <c r="AL173" s="40"/>
      <c r="AM173" s="40"/>
      <c r="AN173" s="40"/>
      <c r="AO173" s="40"/>
      <c r="AP173" s="40"/>
      <c r="AQ173" s="40"/>
      <c r="AR173" s="40"/>
      <c r="AS173" s="40"/>
      <c r="AT173" s="40"/>
    </row>
    <row r="174" spans="1:46" hidden="1" outlineLevel="1">
      <c r="A174" s="98"/>
      <c r="B174" s="98"/>
      <c r="C174" s="105" t="s">
        <v>97</v>
      </c>
      <c r="D174" s="422">
        <f>E173</f>
        <v>0</v>
      </c>
      <c r="E174" s="441"/>
      <c r="F174" s="453"/>
      <c r="P174" s="417"/>
      <c r="Q174" s="417"/>
      <c r="R174" s="417"/>
      <c r="S174" s="417"/>
      <c r="T174" s="417"/>
      <c r="U174" s="417"/>
      <c r="V174" s="417"/>
      <c r="W174" s="417"/>
      <c r="X174" s="417"/>
      <c r="Y174" s="417"/>
      <c r="Z174" s="417"/>
      <c r="AA174" s="417"/>
      <c r="AB174" s="417"/>
      <c r="AC174" s="417"/>
      <c r="AD174" s="417"/>
      <c r="AE174" s="417"/>
      <c r="AF174" s="417"/>
      <c r="AG174" s="417"/>
      <c r="AH174" s="40"/>
      <c r="AI174" s="40"/>
      <c r="AJ174" s="40"/>
      <c r="AK174" s="40"/>
      <c r="AL174" s="40"/>
      <c r="AM174" s="40"/>
      <c r="AN174" s="40"/>
      <c r="AO174" s="40"/>
      <c r="AP174" s="40"/>
      <c r="AQ174" s="40"/>
      <c r="AR174" s="40"/>
      <c r="AS174" s="40"/>
      <c r="AT174" s="40"/>
    </row>
    <row r="175" spans="1:46" hidden="1" outlineLevel="1">
      <c r="A175" s="98"/>
      <c r="B175" s="98"/>
      <c r="C175" s="105" t="s">
        <v>96</v>
      </c>
      <c r="D175" s="422">
        <f>E174</f>
        <v>0</v>
      </c>
      <c r="E175" s="441"/>
      <c r="F175" s="453"/>
      <c r="P175" s="417"/>
      <c r="Q175" s="417"/>
      <c r="R175" s="417"/>
      <c r="S175" s="417"/>
      <c r="T175" s="417"/>
      <c r="U175" s="417"/>
      <c r="V175" s="417"/>
      <c r="W175" s="417"/>
      <c r="X175" s="417"/>
      <c r="Y175" s="417"/>
      <c r="Z175" s="417"/>
      <c r="AA175" s="417"/>
      <c r="AB175" s="417"/>
      <c r="AC175" s="417"/>
      <c r="AD175" s="417"/>
      <c r="AE175" s="417"/>
      <c r="AF175" s="417"/>
      <c r="AG175" s="417"/>
      <c r="AH175" s="40"/>
      <c r="AI175" s="40"/>
      <c r="AJ175" s="40"/>
      <c r="AK175" s="40"/>
      <c r="AL175" s="40"/>
      <c r="AM175" s="40"/>
      <c r="AN175" s="40"/>
      <c r="AO175" s="40"/>
      <c r="AP175" s="40"/>
      <c r="AQ175" s="40"/>
      <c r="AR175" s="40"/>
      <c r="AS175" s="40"/>
      <c r="AT175" s="40"/>
    </row>
    <row r="176" spans="1:46" hidden="1" outlineLevel="1">
      <c r="A176" s="98"/>
      <c r="B176" s="98"/>
      <c r="C176" s="1042">
        <f>D19</f>
        <v>0.08</v>
      </c>
      <c r="D176" s="422">
        <f>E175</f>
        <v>0</v>
      </c>
      <c r="E176" s="441"/>
      <c r="F176" s="453"/>
      <c r="P176" s="417"/>
      <c r="Q176" s="417"/>
      <c r="R176" s="417"/>
      <c r="S176" s="417"/>
      <c r="T176" s="417"/>
      <c r="U176" s="417"/>
      <c r="V176" s="417"/>
      <c r="W176" s="417"/>
      <c r="X176" s="417"/>
      <c r="Y176" s="417"/>
      <c r="Z176" s="417"/>
      <c r="AA176" s="417"/>
      <c r="AB176" s="417"/>
      <c r="AC176" s="417"/>
      <c r="AD176" s="417"/>
      <c r="AE176" s="417"/>
      <c r="AF176" s="417"/>
      <c r="AG176" s="417"/>
      <c r="AH176" s="40"/>
      <c r="AI176" s="40"/>
      <c r="AJ176" s="40"/>
      <c r="AK176" s="40"/>
      <c r="AL176" s="40"/>
      <c r="AM176" s="40"/>
      <c r="AN176" s="40"/>
      <c r="AO176" s="40"/>
      <c r="AP176" s="40"/>
      <c r="AQ176" s="40"/>
      <c r="AR176" s="40"/>
      <c r="AS176" s="40"/>
      <c r="AT176" s="40"/>
    </row>
    <row r="177" spans="1:46" hidden="1" outlineLevel="1">
      <c r="A177" s="98"/>
      <c r="B177" s="98"/>
      <c r="C177" s="105" t="s">
        <v>98</v>
      </c>
      <c r="D177" s="422">
        <f>E176</f>
        <v>0</v>
      </c>
      <c r="E177" s="441"/>
      <c r="F177" s="453"/>
      <c r="P177" s="417"/>
      <c r="Q177" s="417"/>
      <c r="R177" s="417"/>
      <c r="S177" s="417"/>
      <c r="T177" s="417"/>
      <c r="U177" s="417"/>
      <c r="V177" s="417"/>
      <c r="W177" s="417"/>
      <c r="X177" s="417"/>
      <c r="Y177" s="417"/>
      <c r="Z177" s="417"/>
      <c r="AA177" s="417"/>
      <c r="AB177" s="417"/>
      <c r="AC177" s="417"/>
      <c r="AD177" s="417"/>
      <c r="AE177" s="417"/>
      <c r="AF177" s="417"/>
      <c r="AG177" s="417"/>
      <c r="AH177" s="40"/>
      <c r="AI177" s="40"/>
      <c r="AJ177" s="40"/>
      <c r="AK177" s="40"/>
      <c r="AL177" s="40"/>
      <c r="AM177" s="40"/>
      <c r="AN177" s="40"/>
      <c r="AO177" s="40"/>
      <c r="AP177" s="40"/>
      <c r="AQ177" s="40"/>
      <c r="AR177" s="40"/>
      <c r="AS177" s="40"/>
      <c r="AT177" s="40"/>
    </row>
    <row r="178" spans="1:46" ht="15.6" hidden="1" outlineLevel="1">
      <c r="A178" s="98"/>
      <c r="B178" s="98"/>
      <c r="C178" s="441"/>
      <c r="D178" s="441"/>
      <c r="E178" s="441"/>
      <c r="F178" s="453"/>
      <c r="P178" s="417"/>
      <c r="Q178" s="417"/>
      <c r="R178" s="417"/>
      <c r="S178" s="417"/>
      <c r="T178" s="417"/>
      <c r="U178" s="417"/>
      <c r="V178" s="417"/>
      <c r="W178" s="417"/>
      <c r="X178" s="417"/>
      <c r="Y178" s="417"/>
      <c r="Z178" s="417"/>
      <c r="AA178" s="417"/>
      <c r="AB178" s="417"/>
      <c r="AC178" s="417"/>
      <c r="AD178" s="417"/>
      <c r="AE178" s="417"/>
      <c r="AF178" s="417"/>
      <c r="AG178" s="417"/>
      <c r="AH178" s="40"/>
      <c r="AI178" s="40"/>
      <c r="AJ178" s="40"/>
      <c r="AK178" s="40"/>
      <c r="AL178" s="40"/>
      <c r="AM178" s="40"/>
      <c r="AN178" s="40"/>
      <c r="AO178" s="40"/>
      <c r="AP178" s="40"/>
      <c r="AQ178" s="40"/>
      <c r="AR178" s="40"/>
      <c r="AS178" s="40"/>
      <c r="AT178" s="40"/>
    </row>
    <row r="179" spans="1:46" ht="15.6" collapsed="1">
      <c r="A179" s="98"/>
      <c r="B179" s="98"/>
      <c r="C179" s="417"/>
      <c r="D179" s="417"/>
      <c r="E179" s="417"/>
      <c r="P179" s="417"/>
      <c r="Q179" s="417"/>
      <c r="R179" s="417"/>
      <c r="S179" s="417"/>
      <c r="T179" s="417"/>
      <c r="U179" s="417"/>
      <c r="V179" s="417"/>
      <c r="W179" s="417"/>
      <c r="X179" s="417"/>
      <c r="Y179" s="417"/>
      <c r="Z179" s="417"/>
      <c r="AA179" s="417"/>
      <c r="AB179" s="417"/>
      <c r="AC179" s="417"/>
      <c r="AD179" s="417"/>
      <c r="AE179" s="417"/>
      <c r="AF179" s="417"/>
      <c r="AG179" s="417"/>
      <c r="AH179" s="40"/>
      <c r="AI179" s="40"/>
      <c r="AJ179" s="40"/>
      <c r="AK179" s="40"/>
      <c r="AL179" s="40"/>
      <c r="AM179" s="40"/>
      <c r="AN179" s="40"/>
      <c r="AO179" s="40"/>
      <c r="AP179" s="40"/>
      <c r="AQ179" s="40"/>
      <c r="AR179" s="40"/>
      <c r="AS179" s="40"/>
      <c r="AT179" s="40"/>
    </row>
    <row r="180" spans="1:46">
      <c r="B180" s="474"/>
      <c r="C180" s="1308" t="s">
        <v>99</v>
      </c>
      <c r="D180" s="1309"/>
      <c r="E180" s="1310"/>
      <c r="F180" s="622"/>
      <c r="H180" s="554"/>
      <c r="P180" s="417"/>
      <c r="Q180" s="417"/>
      <c r="R180" s="417"/>
      <c r="S180" s="417"/>
      <c r="T180" s="417"/>
      <c r="U180" s="417"/>
      <c r="V180" s="417"/>
      <c r="W180" s="417"/>
      <c r="X180" s="417"/>
      <c r="Y180" s="417"/>
      <c r="Z180" s="417"/>
      <c r="AA180" s="417"/>
      <c r="AB180" s="417"/>
      <c r="AC180" s="417"/>
      <c r="AD180" s="417"/>
      <c r="AE180" s="417"/>
      <c r="AF180" s="417"/>
      <c r="AG180" s="417"/>
      <c r="AH180" s="40"/>
      <c r="AI180" s="40"/>
      <c r="AJ180" s="40"/>
      <c r="AK180" s="40"/>
      <c r="AL180" s="40"/>
      <c r="AM180" s="40"/>
      <c r="AN180" s="40"/>
      <c r="AO180" s="40"/>
      <c r="AP180" s="40"/>
      <c r="AQ180" s="40"/>
      <c r="AR180" s="40"/>
      <c r="AS180" s="40"/>
      <c r="AT180" s="40"/>
    </row>
    <row r="181" spans="1:46" s="107" customFormat="1" ht="14.4" hidden="1" outlineLevel="1" thickBot="1">
      <c r="B181" s="475"/>
      <c r="C181" s="487"/>
      <c r="D181" s="487"/>
      <c r="E181" s="487"/>
      <c r="F181" s="476"/>
      <c r="P181" s="419"/>
      <c r="Q181" s="419"/>
      <c r="R181" s="419"/>
      <c r="S181" s="419"/>
      <c r="T181" s="419"/>
      <c r="U181" s="419"/>
      <c r="V181" s="419"/>
      <c r="W181" s="419"/>
      <c r="X181" s="419"/>
      <c r="Y181" s="419"/>
      <c r="Z181" s="419"/>
      <c r="AA181" s="419"/>
      <c r="AB181" s="419"/>
      <c r="AC181" s="419"/>
      <c r="AD181" s="419"/>
      <c r="AE181" s="419"/>
      <c r="AF181" s="419"/>
      <c r="AG181" s="419"/>
      <c r="AH181" s="41"/>
      <c r="AI181" s="41"/>
      <c r="AJ181" s="41"/>
      <c r="AK181" s="41"/>
      <c r="AL181" s="41"/>
      <c r="AM181" s="41"/>
      <c r="AN181" s="41"/>
      <c r="AO181" s="41"/>
      <c r="AP181" s="41"/>
      <c r="AQ181" s="41"/>
      <c r="AR181" s="41"/>
      <c r="AS181" s="41"/>
      <c r="AT181" s="41"/>
    </row>
    <row r="182" spans="1:46" ht="31.8" hidden="1" outlineLevel="1" thickBot="1">
      <c r="B182" s="466"/>
      <c r="C182" s="477" t="s">
        <v>410</v>
      </c>
      <c r="D182" s="478" t="s">
        <v>387</v>
      </c>
      <c r="E182" s="478" t="s">
        <v>386</v>
      </c>
      <c r="F182" s="469"/>
      <c r="P182" s="417"/>
      <c r="Q182" s="417"/>
      <c r="R182" s="417"/>
      <c r="S182" s="417"/>
      <c r="T182" s="417"/>
      <c r="U182" s="417"/>
      <c r="V182" s="417"/>
      <c r="W182" s="417"/>
      <c r="X182" s="417"/>
      <c r="Y182" s="417"/>
      <c r="Z182" s="417"/>
      <c r="AA182" s="417"/>
      <c r="AB182" s="417"/>
      <c r="AC182" s="417"/>
      <c r="AD182" s="417"/>
      <c r="AE182" s="417"/>
      <c r="AF182" s="417"/>
      <c r="AG182" s="417"/>
      <c r="AH182" s="40"/>
      <c r="AI182" s="40"/>
      <c r="AJ182" s="40"/>
      <c r="AK182" s="40"/>
      <c r="AL182" s="40"/>
      <c r="AM182" s="40"/>
      <c r="AN182" s="40"/>
      <c r="AO182" s="40"/>
      <c r="AP182" s="40"/>
      <c r="AQ182" s="40"/>
      <c r="AR182" s="40"/>
      <c r="AS182" s="40"/>
      <c r="AT182" s="40"/>
    </row>
    <row r="183" spans="1:46" ht="9.9" hidden="1" customHeight="1" outlineLevel="1">
      <c r="B183" s="466"/>
      <c r="C183" s="441"/>
      <c r="D183" s="479"/>
      <c r="E183" s="480"/>
      <c r="F183" s="469" t="s">
        <v>11</v>
      </c>
      <c r="P183" s="417"/>
      <c r="Q183" s="417"/>
      <c r="R183" s="417"/>
      <c r="S183" s="417"/>
      <c r="T183" s="417"/>
      <c r="U183" s="417"/>
      <c r="V183" s="417"/>
      <c r="W183" s="417"/>
      <c r="X183" s="417"/>
      <c r="Y183" s="417"/>
      <c r="Z183" s="417"/>
      <c r="AA183" s="417"/>
      <c r="AB183" s="417"/>
      <c r="AC183" s="417"/>
      <c r="AD183" s="417"/>
      <c r="AE183" s="417"/>
      <c r="AF183" s="417"/>
      <c r="AG183" s="417"/>
      <c r="AH183" s="40"/>
      <c r="AI183" s="40"/>
      <c r="AJ183" s="40"/>
      <c r="AK183" s="40"/>
      <c r="AL183" s="40"/>
      <c r="AM183" s="40"/>
      <c r="AN183" s="40"/>
      <c r="AO183" s="40"/>
      <c r="AP183" s="40"/>
      <c r="AQ183" s="40"/>
      <c r="AR183" s="40"/>
      <c r="AS183" s="40"/>
      <c r="AT183" s="40"/>
    </row>
    <row r="184" spans="1:46" ht="9.9" hidden="1" customHeight="1" outlineLevel="1">
      <c r="B184" s="466"/>
      <c r="C184" s="444" t="s">
        <v>100</v>
      </c>
      <c r="D184" s="481"/>
      <c r="E184" s="482"/>
      <c r="F184" s="469" t="s">
        <v>11</v>
      </c>
      <c r="P184" s="417"/>
      <c r="Q184" s="417"/>
      <c r="R184" s="417"/>
      <c r="S184" s="417"/>
      <c r="T184" s="417"/>
      <c r="U184" s="417"/>
      <c r="V184" s="417"/>
      <c r="W184" s="417"/>
      <c r="X184" s="417"/>
      <c r="Y184" s="417"/>
      <c r="Z184" s="417"/>
      <c r="AA184" s="417"/>
      <c r="AB184" s="417"/>
      <c r="AC184" s="417"/>
      <c r="AD184" s="417"/>
      <c r="AE184" s="417"/>
      <c r="AF184" s="417"/>
      <c r="AG184" s="417"/>
      <c r="AH184" s="40"/>
      <c r="AI184" s="40"/>
      <c r="AJ184" s="40"/>
      <c r="AK184" s="40"/>
      <c r="AL184" s="40"/>
      <c r="AM184" s="40"/>
      <c r="AN184" s="40"/>
      <c r="AO184" s="40"/>
      <c r="AP184" s="40"/>
      <c r="AQ184" s="40"/>
      <c r="AR184" s="40"/>
      <c r="AS184" s="40"/>
      <c r="AT184" s="40"/>
    </row>
    <row r="185" spans="1:46" ht="9.9" hidden="1" customHeight="1" outlineLevel="1">
      <c r="B185" s="466"/>
      <c r="C185" s="444" t="s">
        <v>100</v>
      </c>
      <c r="D185" s="481"/>
      <c r="E185" s="482"/>
      <c r="F185" s="469" t="s">
        <v>11</v>
      </c>
      <c r="P185" s="417"/>
      <c r="Q185" s="417"/>
      <c r="R185" s="417"/>
      <c r="S185" s="417"/>
      <c r="T185" s="417"/>
      <c r="U185" s="417"/>
      <c r="V185" s="417"/>
      <c r="W185" s="417"/>
      <c r="X185" s="417"/>
      <c r="Y185" s="417"/>
      <c r="Z185" s="417"/>
      <c r="AA185" s="417"/>
      <c r="AB185" s="417"/>
      <c r="AC185" s="417"/>
      <c r="AD185" s="417"/>
      <c r="AE185" s="417"/>
      <c r="AF185" s="417"/>
      <c r="AG185" s="417"/>
      <c r="AH185" s="40"/>
      <c r="AI185" s="40"/>
      <c r="AJ185" s="40"/>
      <c r="AK185" s="40"/>
      <c r="AL185" s="40"/>
      <c r="AM185" s="40"/>
      <c r="AN185" s="40"/>
      <c r="AO185" s="40"/>
      <c r="AP185" s="40"/>
      <c r="AQ185" s="40"/>
      <c r="AR185" s="40"/>
      <c r="AS185" s="40"/>
      <c r="AT185" s="40"/>
    </row>
    <row r="186" spans="1:46" ht="9.9" hidden="1" customHeight="1" outlineLevel="1">
      <c r="B186" s="483"/>
      <c r="C186" s="444" t="s">
        <v>100</v>
      </c>
      <c r="D186" s="481"/>
      <c r="E186" s="482"/>
      <c r="F186" s="484" t="s">
        <v>11</v>
      </c>
      <c r="G186" s="417"/>
      <c r="H186" s="417"/>
      <c r="I186" s="417"/>
      <c r="P186" s="417"/>
      <c r="Q186" s="417"/>
      <c r="R186" s="417"/>
      <c r="S186" s="417"/>
      <c r="T186" s="417"/>
      <c r="U186" s="417"/>
      <c r="V186" s="417"/>
      <c r="W186" s="417"/>
      <c r="X186" s="417"/>
      <c r="Y186" s="417"/>
      <c r="Z186" s="417"/>
      <c r="AA186" s="417"/>
      <c r="AB186" s="417"/>
      <c r="AC186" s="417"/>
      <c r="AD186" s="417"/>
      <c r="AE186" s="417"/>
      <c r="AF186" s="417"/>
      <c r="AG186" s="417"/>
      <c r="AH186" s="40"/>
      <c r="AI186" s="40"/>
      <c r="AJ186" s="40"/>
      <c r="AK186" s="40"/>
      <c r="AL186" s="40"/>
      <c r="AM186" s="40"/>
      <c r="AN186" s="40"/>
      <c r="AO186" s="40"/>
      <c r="AP186" s="40"/>
      <c r="AQ186" s="40"/>
      <c r="AR186" s="40"/>
      <c r="AS186" s="40"/>
      <c r="AT186" s="40"/>
    </row>
    <row r="187" spans="1:46" ht="9.9" hidden="1" customHeight="1" outlineLevel="1">
      <c r="B187" s="483"/>
      <c r="C187" s="444" t="s">
        <v>100</v>
      </c>
      <c r="D187" s="481"/>
      <c r="E187" s="482"/>
      <c r="F187" s="484" t="s">
        <v>11</v>
      </c>
      <c r="G187" s="417"/>
      <c r="H187" s="417"/>
      <c r="I187" s="417"/>
      <c r="P187" s="417"/>
      <c r="Q187" s="417"/>
      <c r="R187" s="417"/>
      <c r="S187" s="417"/>
      <c r="T187" s="417"/>
      <c r="U187" s="417"/>
      <c r="V187" s="417"/>
      <c r="W187" s="417"/>
      <c r="X187" s="417"/>
      <c r="Y187" s="417"/>
      <c r="Z187" s="417"/>
      <c r="AA187" s="417"/>
      <c r="AB187" s="417"/>
      <c r="AC187" s="417"/>
      <c r="AD187" s="417"/>
      <c r="AE187" s="417"/>
      <c r="AF187" s="417"/>
      <c r="AG187" s="417"/>
      <c r="AH187" s="40"/>
      <c r="AI187" s="40"/>
      <c r="AJ187" s="40"/>
      <c r="AK187" s="40"/>
      <c r="AL187" s="40"/>
      <c r="AM187" s="40"/>
      <c r="AN187" s="40"/>
      <c r="AO187" s="40"/>
      <c r="AP187" s="40"/>
      <c r="AQ187" s="40"/>
      <c r="AR187" s="40"/>
      <c r="AS187" s="40"/>
      <c r="AT187" s="40"/>
    </row>
    <row r="188" spans="1:46" ht="9.9" hidden="1" customHeight="1" outlineLevel="1">
      <c r="B188" s="466"/>
      <c r="C188" s="444" t="s">
        <v>100</v>
      </c>
      <c r="D188" s="481"/>
      <c r="E188" s="482"/>
      <c r="F188" s="484" t="s">
        <v>11</v>
      </c>
      <c r="P188" s="417"/>
      <c r="Q188" s="417"/>
      <c r="R188" s="417"/>
      <c r="S188" s="417"/>
      <c r="T188" s="417"/>
      <c r="U188" s="417"/>
      <c r="V188" s="417"/>
      <c r="W188" s="417"/>
      <c r="X188" s="417"/>
      <c r="Y188" s="417"/>
      <c r="Z188" s="417"/>
      <c r="AA188" s="417"/>
      <c r="AB188" s="417"/>
      <c r="AC188" s="417"/>
      <c r="AD188" s="417"/>
      <c r="AE188" s="417"/>
      <c r="AF188" s="417"/>
      <c r="AG188" s="417"/>
      <c r="AH188" s="40"/>
      <c r="AI188" s="40"/>
      <c r="AJ188" s="40"/>
      <c r="AK188" s="40"/>
      <c r="AL188" s="40"/>
      <c r="AM188" s="40"/>
      <c r="AN188" s="40"/>
      <c r="AO188" s="40"/>
      <c r="AP188" s="40"/>
      <c r="AQ188" s="40"/>
      <c r="AR188" s="40"/>
      <c r="AS188" s="40"/>
      <c r="AT188" s="40"/>
    </row>
    <row r="189" spans="1:46" ht="9.9" hidden="1" customHeight="1" outlineLevel="1">
      <c r="B189" s="483"/>
      <c r="C189" s="444" t="s">
        <v>100</v>
      </c>
      <c r="D189" s="481"/>
      <c r="E189" s="482"/>
      <c r="F189" s="484" t="s">
        <v>11</v>
      </c>
      <c r="G189" s="417"/>
      <c r="H189" s="417"/>
      <c r="I189" s="417"/>
      <c r="J189" s="417"/>
      <c r="P189" s="417"/>
      <c r="Q189" s="417"/>
      <c r="R189" s="417"/>
      <c r="S189" s="417"/>
      <c r="T189" s="417"/>
      <c r="U189" s="417"/>
      <c r="V189" s="417"/>
      <c r="W189" s="417"/>
      <c r="X189" s="417"/>
      <c r="Y189" s="417"/>
      <c r="Z189" s="417"/>
      <c r="AA189" s="417"/>
      <c r="AB189" s="417"/>
      <c r="AC189" s="417"/>
      <c r="AD189" s="417"/>
      <c r="AE189" s="417"/>
      <c r="AF189" s="417"/>
      <c r="AG189" s="417"/>
      <c r="AH189" s="40"/>
      <c r="AI189" s="40"/>
      <c r="AJ189" s="40"/>
      <c r="AK189" s="40"/>
      <c r="AL189" s="40"/>
      <c r="AM189" s="40"/>
      <c r="AN189" s="40"/>
      <c r="AO189" s="40"/>
      <c r="AP189" s="40"/>
      <c r="AQ189" s="40"/>
      <c r="AR189" s="40"/>
      <c r="AS189" s="40"/>
      <c r="AT189" s="40"/>
    </row>
    <row r="190" spans="1:46" ht="9.9" hidden="1" customHeight="1" outlineLevel="1">
      <c r="B190" s="466"/>
      <c r="C190" s="444" t="s">
        <v>100</v>
      </c>
      <c r="D190" s="481"/>
      <c r="E190" s="482"/>
      <c r="F190" s="484" t="s">
        <v>11</v>
      </c>
      <c r="P190" s="417"/>
      <c r="Q190" s="417"/>
      <c r="R190" s="417"/>
      <c r="S190" s="417"/>
      <c r="T190" s="417"/>
      <c r="U190" s="417"/>
      <c r="V190" s="417"/>
      <c r="W190" s="417"/>
      <c r="X190" s="417"/>
      <c r="Y190" s="417"/>
      <c r="Z190" s="417"/>
      <c r="AA190" s="417"/>
      <c r="AB190" s="417"/>
      <c r="AC190" s="417"/>
      <c r="AD190" s="417"/>
      <c r="AE190" s="417"/>
      <c r="AF190" s="417"/>
      <c r="AG190" s="417"/>
      <c r="AH190" s="40"/>
      <c r="AI190" s="40"/>
      <c r="AJ190" s="40"/>
      <c r="AK190" s="40"/>
      <c r="AL190" s="40"/>
      <c r="AM190" s="40"/>
      <c r="AN190" s="40"/>
      <c r="AO190" s="40"/>
      <c r="AP190" s="40"/>
      <c r="AQ190" s="40"/>
      <c r="AR190" s="40"/>
      <c r="AS190" s="40"/>
      <c r="AT190" s="40"/>
    </row>
    <row r="191" spans="1:46" ht="9.9" hidden="1" customHeight="1" outlineLevel="1">
      <c r="B191" s="466"/>
      <c r="C191" s="444" t="s">
        <v>100</v>
      </c>
      <c r="D191" s="481"/>
      <c r="E191" s="482"/>
      <c r="F191" s="484" t="s">
        <v>11</v>
      </c>
      <c r="P191" s="417"/>
      <c r="Q191" s="417"/>
      <c r="R191" s="417"/>
      <c r="S191" s="417"/>
      <c r="T191" s="417"/>
      <c r="U191" s="417"/>
      <c r="V191" s="417"/>
      <c r="W191" s="417"/>
      <c r="X191" s="417"/>
      <c r="Y191" s="417"/>
      <c r="Z191" s="417"/>
      <c r="AA191" s="417"/>
      <c r="AB191" s="417"/>
      <c r="AC191" s="417"/>
      <c r="AD191" s="417"/>
      <c r="AE191" s="417"/>
      <c r="AF191" s="417"/>
      <c r="AG191" s="417"/>
      <c r="AH191" s="40"/>
      <c r="AI191" s="40"/>
      <c r="AJ191" s="40"/>
      <c r="AK191" s="40"/>
      <c r="AL191" s="40"/>
      <c r="AM191" s="40"/>
      <c r="AN191" s="40"/>
      <c r="AO191" s="40"/>
      <c r="AP191" s="40"/>
      <c r="AQ191" s="40"/>
      <c r="AR191" s="40"/>
      <c r="AS191" s="40"/>
      <c r="AT191" s="40"/>
    </row>
    <row r="192" spans="1:46" ht="9.9" hidden="1" customHeight="1" outlineLevel="1">
      <c r="B192" s="466"/>
      <c r="C192" s="444" t="s">
        <v>100</v>
      </c>
      <c r="D192" s="481"/>
      <c r="E192" s="482"/>
      <c r="F192" s="484" t="s">
        <v>11</v>
      </c>
      <c r="P192" s="417"/>
      <c r="Q192" s="417"/>
      <c r="R192" s="417"/>
      <c r="S192" s="417"/>
      <c r="T192" s="417"/>
      <c r="U192" s="417"/>
      <c r="V192" s="417"/>
      <c r="W192" s="417"/>
      <c r="X192" s="417"/>
      <c r="Y192" s="417"/>
      <c r="Z192" s="417"/>
      <c r="AA192" s="417"/>
      <c r="AB192" s="417"/>
      <c r="AC192" s="417"/>
      <c r="AD192" s="417"/>
      <c r="AE192" s="417"/>
      <c r="AF192" s="417"/>
      <c r="AG192" s="417"/>
      <c r="AH192" s="40"/>
      <c r="AI192" s="40"/>
      <c r="AJ192" s="40"/>
      <c r="AK192" s="40"/>
      <c r="AL192" s="40"/>
      <c r="AM192" s="40"/>
      <c r="AN192" s="40"/>
      <c r="AO192" s="40"/>
      <c r="AP192" s="40"/>
      <c r="AQ192" s="40"/>
      <c r="AR192" s="40"/>
      <c r="AS192" s="40"/>
      <c r="AT192" s="40"/>
    </row>
    <row r="193" spans="2:46" ht="9.9" hidden="1" customHeight="1" outlineLevel="1">
      <c r="B193" s="466"/>
      <c r="C193" s="444" t="s">
        <v>100</v>
      </c>
      <c r="D193" s="481"/>
      <c r="E193" s="482"/>
      <c r="F193" s="484" t="s">
        <v>11</v>
      </c>
      <c r="P193" s="417"/>
      <c r="Q193" s="417"/>
      <c r="R193" s="417"/>
      <c r="S193" s="417"/>
      <c r="T193" s="417"/>
      <c r="U193" s="417"/>
      <c r="V193" s="417"/>
      <c r="W193" s="417"/>
      <c r="X193" s="417"/>
      <c r="Y193" s="417"/>
      <c r="Z193" s="417"/>
      <c r="AA193" s="417"/>
      <c r="AB193" s="417"/>
      <c r="AC193" s="417"/>
      <c r="AD193" s="417"/>
      <c r="AE193" s="417"/>
      <c r="AF193" s="417"/>
      <c r="AG193" s="417"/>
      <c r="AH193" s="40"/>
      <c r="AI193" s="40"/>
      <c r="AJ193" s="40"/>
      <c r="AK193" s="40"/>
      <c r="AL193" s="40"/>
      <c r="AM193" s="40"/>
      <c r="AN193" s="40"/>
      <c r="AO193" s="40"/>
      <c r="AP193" s="40"/>
      <c r="AQ193" s="40"/>
      <c r="AR193" s="40"/>
      <c r="AS193" s="40"/>
      <c r="AT193" s="40"/>
    </row>
    <row r="194" spans="2:46" ht="9.9" hidden="1" customHeight="1" outlineLevel="1">
      <c r="B194" s="466"/>
      <c r="C194" s="444" t="s">
        <v>100</v>
      </c>
      <c r="D194" s="481"/>
      <c r="E194" s="482"/>
      <c r="F194" s="484" t="s">
        <v>11</v>
      </c>
      <c r="P194" s="417"/>
      <c r="Q194" s="417"/>
      <c r="R194" s="417"/>
      <c r="S194" s="417"/>
      <c r="T194" s="417"/>
      <c r="U194" s="417"/>
      <c r="V194" s="417"/>
      <c r="W194" s="417"/>
      <c r="X194" s="417"/>
      <c r="Y194" s="417"/>
      <c r="Z194" s="417"/>
      <c r="AA194" s="417"/>
      <c r="AB194" s="417"/>
      <c r="AC194" s="417"/>
      <c r="AD194" s="417"/>
      <c r="AE194" s="417"/>
      <c r="AF194" s="417"/>
      <c r="AG194" s="417"/>
      <c r="AH194" s="40"/>
      <c r="AI194" s="40"/>
      <c r="AJ194" s="40"/>
      <c r="AK194" s="40"/>
      <c r="AL194" s="40"/>
      <c r="AM194" s="40"/>
      <c r="AN194" s="40"/>
      <c r="AO194" s="40"/>
      <c r="AP194" s="40"/>
      <c r="AQ194" s="40"/>
      <c r="AR194" s="40"/>
      <c r="AS194" s="40"/>
      <c r="AT194" s="40"/>
    </row>
    <row r="195" spans="2:46" ht="9.9" hidden="1" customHeight="1" outlineLevel="1">
      <c r="B195" s="466"/>
      <c r="C195" s="444" t="s">
        <v>100</v>
      </c>
      <c r="D195" s="481"/>
      <c r="E195" s="482"/>
      <c r="F195" s="484" t="s">
        <v>11</v>
      </c>
      <c r="P195" s="417"/>
      <c r="Q195" s="417"/>
      <c r="R195" s="417"/>
      <c r="S195" s="417"/>
      <c r="T195" s="417"/>
      <c r="U195" s="417"/>
      <c r="V195" s="417"/>
      <c r="W195" s="417"/>
      <c r="X195" s="417"/>
      <c r="Y195" s="417"/>
      <c r="Z195" s="417"/>
      <c r="AA195" s="417"/>
      <c r="AB195" s="417"/>
      <c r="AC195" s="417"/>
      <c r="AD195" s="417"/>
      <c r="AE195" s="417"/>
      <c r="AF195" s="417"/>
      <c r="AG195" s="417"/>
      <c r="AH195" s="40"/>
      <c r="AI195" s="40"/>
      <c r="AJ195" s="40"/>
      <c r="AK195" s="40"/>
      <c r="AL195" s="40"/>
      <c r="AM195" s="40"/>
      <c r="AN195" s="40"/>
      <c r="AO195" s="40"/>
      <c r="AP195" s="40"/>
      <c r="AQ195" s="40"/>
      <c r="AR195" s="40"/>
      <c r="AS195" s="40"/>
      <c r="AT195" s="40"/>
    </row>
    <row r="196" spans="2:46" ht="9.9" hidden="1" customHeight="1" outlineLevel="1">
      <c r="B196" s="466"/>
      <c r="C196" s="444" t="s">
        <v>100</v>
      </c>
      <c r="D196" s="481"/>
      <c r="E196" s="482"/>
      <c r="F196" s="484" t="s">
        <v>11</v>
      </c>
      <c r="P196" s="417"/>
      <c r="Q196" s="417"/>
      <c r="R196" s="417"/>
      <c r="S196" s="417"/>
      <c r="T196" s="417"/>
      <c r="U196" s="417"/>
      <c r="V196" s="417"/>
      <c r="W196" s="417"/>
      <c r="X196" s="417"/>
      <c r="Y196" s="417"/>
      <c r="Z196" s="417"/>
      <c r="AA196" s="417"/>
      <c r="AB196" s="417"/>
      <c r="AC196" s="417"/>
      <c r="AD196" s="417"/>
      <c r="AE196" s="417"/>
      <c r="AF196" s="417"/>
      <c r="AG196" s="417"/>
      <c r="AH196" s="40"/>
      <c r="AI196" s="40"/>
      <c r="AJ196" s="40"/>
      <c r="AK196" s="40"/>
      <c r="AL196" s="40"/>
      <c r="AM196" s="40"/>
      <c r="AN196" s="40"/>
      <c r="AO196" s="40"/>
      <c r="AP196" s="40"/>
      <c r="AQ196" s="40"/>
      <c r="AR196" s="40"/>
      <c r="AS196" s="40"/>
      <c r="AT196" s="40"/>
    </row>
    <row r="197" spans="2:46" ht="9.9" hidden="1" customHeight="1" outlineLevel="1">
      <c r="B197" s="466"/>
      <c r="C197" s="444" t="s">
        <v>100</v>
      </c>
      <c r="D197" s="481"/>
      <c r="E197" s="482"/>
      <c r="F197" s="484" t="s">
        <v>11</v>
      </c>
      <c r="P197" s="417"/>
      <c r="Q197" s="417"/>
      <c r="R197" s="417"/>
      <c r="S197" s="417"/>
      <c r="T197" s="417"/>
      <c r="U197" s="417"/>
      <c r="V197" s="417"/>
      <c r="W197" s="417"/>
      <c r="X197" s="417"/>
      <c r="Y197" s="417"/>
      <c r="Z197" s="417"/>
      <c r="AA197" s="417"/>
      <c r="AB197" s="417"/>
      <c r="AC197" s="417"/>
      <c r="AD197" s="417"/>
      <c r="AE197" s="417"/>
      <c r="AF197" s="417"/>
      <c r="AG197" s="417"/>
      <c r="AH197" s="40"/>
      <c r="AI197" s="40"/>
      <c r="AJ197" s="40"/>
      <c r="AK197" s="40"/>
      <c r="AL197" s="40"/>
      <c r="AM197" s="40"/>
      <c r="AN197" s="40"/>
      <c r="AO197" s="40"/>
      <c r="AP197" s="40"/>
      <c r="AQ197" s="40"/>
      <c r="AR197" s="40"/>
      <c r="AS197" s="40"/>
      <c r="AT197" s="40"/>
    </row>
    <row r="198" spans="2:46" ht="9.9" hidden="1" customHeight="1" outlineLevel="1">
      <c r="B198" s="466"/>
      <c r="C198" s="444" t="s">
        <v>100</v>
      </c>
      <c r="D198" s="481"/>
      <c r="E198" s="482"/>
      <c r="F198" s="484" t="s">
        <v>11</v>
      </c>
      <c r="P198" s="417"/>
      <c r="Q198" s="417"/>
      <c r="R198" s="417"/>
      <c r="S198" s="417"/>
      <c r="T198" s="417"/>
      <c r="U198" s="417"/>
      <c r="V198" s="417"/>
      <c r="W198" s="417"/>
      <c r="X198" s="417"/>
      <c r="Y198" s="417"/>
      <c r="Z198" s="417"/>
      <c r="AA198" s="417"/>
      <c r="AB198" s="417"/>
      <c r="AC198" s="417"/>
      <c r="AD198" s="417"/>
      <c r="AE198" s="417"/>
      <c r="AF198" s="417"/>
      <c r="AG198" s="417"/>
      <c r="AH198" s="40"/>
      <c r="AI198" s="40"/>
      <c r="AJ198" s="40"/>
      <c r="AK198" s="40"/>
      <c r="AL198" s="40"/>
      <c r="AM198" s="40"/>
      <c r="AN198" s="40"/>
      <c r="AO198" s="40"/>
      <c r="AP198" s="40"/>
      <c r="AQ198" s="40"/>
      <c r="AR198" s="40"/>
      <c r="AS198" s="40"/>
      <c r="AT198" s="40"/>
    </row>
    <row r="199" spans="2:46" ht="9.9" hidden="1" customHeight="1" outlineLevel="1">
      <c r="B199" s="466"/>
      <c r="C199" s="444" t="s">
        <v>100</v>
      </c>
      <c r="D199" s="481"/>
      <c r="E199" s="482"/>
      <c r="F199" s="484" t="s">
        <v>11</v>
      </c>
      <c r="P199" s="417"/>
      <c r="Q199" s="417"/>
      <c r="R199" s="417"/>
      <c r="S199" s="417"/>
      <c r="T199" s="417"/>
      <c r="U199" s="417"/>
      <c r="V199" s="417"/>
      <c r="W199" s="417"/>
      <c r="X199" s="417"/>
      <c r="Y199" s="417"/>
      <c r="Z199" s="417"/>
      <c r="AA199" s="417"/>
      <c r="AB199" s="417"/>
      <c r="AC199" s="417"/>
      <c r="AD199" s="417"/>
      <c r="AE199" s="417"/>
      <c r="AF199" s="417"/>
      <c r="AG199" s="417"/>
      <c r="AH199" s="40"/>
      <c r="AI199" s="40"/>
      <c r="AJ199" s="40"/>
      <c r="AK199" s="40"/>
      <c r="AL199" s="40"/>
      <c r="AM199" s="40"/>
      <c r="AN199" s="40"/>
      <c r="AO199" s="40"/>
      <c r="AP199" s="40"/>
      <c r="AQ199" s="40"/>
      <c r="AR199" s="40"/>
      <c r="AS199" s="40"/>
      <c r="AT199" s="40"/>
    </row>
    <row r="200" spans="2:46" ht="9.9" hidden="1" customHeight="1" outlineLevel="1">
      <c r="B200" s="466"/>
      <c r="C200" s="444" t="s">
        <v>100</v>
      </c>
      <c r="D200" s="481"/>
      <c r="E200" s="482"/>
      <c r="F200" s="484" t="s">
        <v>11</v>
      </c>
      <c r="P200" s="417"/>
      <c r="Q200" s="417"/>
      <c r="R200" s="417"/>
      <c r="S200" s="417"/>
      <c r="T200" s="417"/>
      <c r="U200" s="417"/>
      <c r="V200" s="417"/>
      <c r="W200" s="417"/>
      <c r="X200" s="417"/>
      <c r="Y200" s="417"/>
      <c r="Z200" s="417"/>
      <c r="AA200" s="417"/>
      <c r="AB200" s="417"/>
      <c r="AC200" s="417"/>
      <c r="AD200" s="417"/>
      <c r="AE200" s="417"/>
      <c r="AF200" s="417"/>
      <c r="AG200" s="417"/>
      <c r="AH200" s="40"/>
      <c r="AI200" s="40"/>
      <c r="AJ200" s="40"/>
      <c r="AK200" s="40"/>
      <c r="AL200" s="40"/>
      <c r="AM200" s="40"/>
      <c r="AN200" s="40"/>
      <c r="AO200" s="40"/>
      <c r="AP200" s="40"/>
      <c r="AQ200" s="40"/>
      <c r="AR200" s="40"/>
      <c r="AS200" s="40"/>
      <c r="AT200" s="40"/>
    </row>
    <row r="201" spans="2:46" ht="9.9" hidden="1" customHeight="1" outlineLevel="1">
      <c r="B201" s="466"/>
      <c r="C201" s="444" t="s">
        <v>100</v>
      </c>
      <c r="D201" s="481"/>
      <c r="E201" s="485"/>
      <c r="F201" s="484" t="s">
        <v>11</v>
      </c>
      <c r="P201" s="417"/>
      <c r="Q201" s="417"/>
      <c r="R201" s="417"/>
      <c r="S201" s="417"/>
      <c r="T201" s="417"/>
      <c r="U201" s="417"/>
      <c r="V201" s="417"/>
      <c r="W201" s="417"/>
      <c r="X201" s="417"/>
      <c r="Y201" s="417"/>
      <c r="Z201" s="417"/>
      <c r="AA201" s="417"/>
      <c r="AB201" s="417"/>
      <c r="AC201" s="417"/>
      <c r="AD201" s="417"/>
      <c r="AE201" s="417"/>
      <c r="AF201" s="417"/>
      <c r="AG201" s="417"/>
      <c r="AH201" s="40"/>
      <c r="AI201" s="40"/>
      <c r="AJ201" s="40"/>
      <c r="AK201" s="40"/>
      <c r="AL201" s="40"/>
      <c r="AM201" s="40"/>
      <c r="AN201" s="40"/>
      <c r="AO201" s="40"/>
      <c r="AP201" s="40"/>
      <c r="AQ201" s="40"/>
      <c r="AR201" s="40"/>
      <c r="AS201" s="40"/>
      <c r="AT201" s="40"/>
    </row>
    <row r="202" spans="2:46" ht="9.9" hidden="1" customHeight="1" outlineLevel="1">
      <c r="B202" s="466"/>
      <c r="C202" s="444" t="s">
        <v>100</v>
      </c>
      <c r="D202" s="479"/>
      <c r="E202" s="480"/>
      <c r="F202" s="484" t="s">
        <v>11</v>
      </c>
      <c r="P202" s="417"/>
      <c r="Q202" s="417"/>
      <c r="R202" s="417"/>
      <c r="S202" s="417"/>
      <c r="T202" s="417"/>
      <c r="U202" s="417"/>
      <c r="V202" s="417"/>
      <c r="W202" s="417"/>
      <c r="X202" s="417"/>
      <c r="Y202" s="417"/>
      <c r="Z202" s="417"/>
      <c r="AA202" s="417"/>
      <c r="AB202" s="417"/>
      <c r="AC202" s="417"/>
      <c r="AD202" s="417"/>
      <c r="AE202" s="417"/>
      <c r="AF202" s="417"/>
      <c r="AG202" s="417"/>
      <c r="AH202" s="40"/>
      <c r="AI202" s="40"/>
      <c r="AJ202" s="40"/>
      <c r="AK202" s="40"/>
      <c r="AL202" s="40"/>
      <c r="AM202" s="40"/>
      <c r="AN202" s="40"/>
      <c r="AO202" s="40"/>
      <c r="AP202" s="40"/>
      <c r="AQ202" s="40"/>
      <c r="AR202" s="40"/>
      <c r="AS202" s="40"/>
      <c r="AT202" s="40"/>
    </row>
    <row r="203" spans="2:46" ht="9.9" hidden="1" customHeight="1" outlineLevel="1">
      <c r="B203" s="466"/>
      <c r="C203" s="444" t="s">
        <v>100</v>
      </c>
      <c r="D203" s="481"/>
      <c r="E203" s="482"/>
      <c r="F203" s="484" t="s">
        <v>11</v>
      </c>
      <c r="P203" s="417"/>
      <c r="Q203" s="417"/>
      <c r="R203" s="417"/>
      <c r="S203" s="417"/>
      <c r="T203" s="417"/>
      <c r="U203" s="417"/>
      <c r="V203" s="417"/>
      <c r="W203" s="417"/>
      <c r="X203" s="417"/>
      <c r="Y203" s="417"/>
      <c r="Z203" s="417"/>
      <c r="AA203" s="417"/>
      <c r="AB203" s="417"/>
      <c r="AC203" s="417"/>
      <c r="AD203" s="417"/>
      <c r="AE203" s="417"/>
      <c r="AF203" s="417"/>
      <c r="AG203" s="417"/>
      <c r="AH203" s="40"/>
      <c r="AI203" s="40"/>
      <c r="AJ203" s="40"/>
      <c r="AK203" s="40"/>
      <c r="AL203" s="40"/>
      <c r="AM203" s="40"/>
      <c r="AN203" s="40"/>
      <c r="AO203" s="40"/>
      <c r="AP203" s="40"/>
      <c r="AQ203" s="40"/>
      <c r="AR203" s="40"/>
      <c r="AS203" s="40"/>
      <c r="AT203" s="40"/>
    </row>
    <row r="204" spans="2:46" ht="9.9" hidden="1" customHeight="1" outlineLevel="1">
      <c r="B204" s="466"/>
      <c r="C204" s="444" t="s">
        <v>100</v>
      </c>
      <c r="D204" s="481"/>
      <c r="E204" s="482"/>
      <c r="F204" s="484" t="s">
        <v>11</v>
      </c>
      <c r="P204" s="417"/>
      <c r="Q204" s="417"/>
      <c r="R204" s="417"/>
      <c r="S204" s="417"/>
      <c r="T204" s="417"/>
      <c r="U204" s="417"/>
      <c r="V204" s="417"/>
      <c r="W204" s="417"/>
      <c r="X204" s="417"/>
      <c r="Y204" s="417"/>
      <c r="Z204" s="417"/>
      <c r="AA204" s="417"/>
      <c r="AB204" s="417"/>
      <c r="AC204" s="417"/>
      <c r="AD204" s="417"/>
      <c r="AE204" s="417"/>
      <c r="AF204" s="417"/>
      <c r="AG204" s="417"/>
      <c r="AH204" s="40"/>
      <c r="AI204" s="40"/>
      <c r="AJ204" s="40"/>
      <c r="AK204" s="40"/>
      <c r="AL204" s="40"/>
      <c r="AM204" s="40"/>
      <c r="AN204" s="40"/>
      <c r="AO204" s="40"/>
      <c r="AP204" s="40"/>
      <c r="AQ204" s="40"/>
      <c r="AR204" s="40"/>
      <c r="AS204" s="40"/>
      <c r="AT204" s="40"/>
    </row>
    <row r="205" spans="2:46" ht="9.9" hidden="1" customHeight="1" outlineLevel="1">
      <c r="B205" s="466"/>
      <c r="C205" s="444" t="s">
        <v>100</v>
      </c>
      <c r="D205" s="481"/>
      <c r="E205" s="482"/>
      <c r="F205" s="484" t="s">
        <v>11</v>
      </c>
      <c r="P205" s="417"/>
      <c r="Q205" s="417"/>
      <c r="R205" s="417"/>
      <c r="S205" s="417"/>
      <c r="T205" s="417"/>
      <c r="U205" s="417"/>
      <c r="V205" s="417"/>
      <c r="W205" s="417"/>
      <c r="X205" s="417"/>
      <c r="Y205" s="417"/>
      <c r="Z205" s="417"/>
      <c r="AA205" s="417"/>
      <c r="AB205" s="417"/>
      <c r="AC205" s="417"/>
      <c r="AD205" s="417"/>
      <c r="AE205" s="417"/>
      <c r="AF205" s="417"/>
      <c r="AG205" s="417"/>
      <c r="AH205" s="40"/>
      <c r="AI205" s="40"/>
      <c r="AJ205" s="40"/>
      <c r="AK205" s="40"/>
      <c r="AL205" s="40"/>
      <c r="AM205" s="40"/>
      <c r="AN205" s="40"/>
      <c r="AO205" s="40"/>
      <c r="AP205" s="40"/>
      <c r="AQ205" s="40"/>
      <c r="AR205" s="40"/>
      <c r="AS205" s="40"/>
      <c r="AT205" s="40"/>
    </row>
    <row r="206" spans="2:46" ht="9.9" hidden="1" customHeight="1" outlineLevel="1">
      <c r="B206" s="466"/>
      <c r="C206" s="444" t="s">
        <v>100</v>
      </c>
      <c r="D206" s="486"/>
      <c r="E206" s="485"/>
      <c r="F206" s="484" t="s">
        <v>11</v>
      </c>
      <c r="P206" s="417"/>
      <c r="Q206" s="417"/>
      <c r="R206" s="417"/>
      <c r="S206" s="417"/>
      <c r="T206" s="417"/>
      <c r="U206" s="417"/>
      <c r="V206" s="417"/>
      <c r="W206" s="417"/>
      <c r="X206" s="417"/>
      <c r="Y206" s="417"/>
      <c r="Z206" s="417"/>
      <c r="AA206" s="417"/>
      <c r="AB206" s="417"/>
      <c r="AC206" s="417"/>
      <c r="AD206" s="417"/>
      <c r="AE206" s="417"/>
      <c r="AF206" s="417"/>
      <c r="AG206" s="417"/>
      <c r="AH206" s="40"/>
      <c r="AI206" s="40"/>
      <c r="AJ206" s="40"/>
      <c r="AK206" s="40"/>
      <c r="AL206" s="40"/>
      <c r="AM206" s="40"/>
      <c r="AN206" s="40"/>
      <c r="AO206" s="40"/>
      <c r="AP206" s="40"/>
      <c r="AQ206" s="40"/>
      <c r="AR206" s="40"/>
      <c r="AS206" s="40"/>
      <c r="AT206" s="40"/>
    </row>
    <row r="207" spans="2:46" ht="9.9" hidden="1" customHeight="1" outlineLevel="1" thickBot="1">
      <c r="B207" s="466"/>
      <c r="C207" s="98"/>
      <c r="D207" s="487"/>
      <c r="E207" s="487"/>
      <c r="F207" s="484"/>
      <c r="H207" s="40"/>
      <c r="I207" s="40"/>
      <c r="J207" s="40"/>
      <c r="P207" s="417"/>
      <c r="Q207" s="417"/>
      <c r="R207" s="417"/>
      <c r="S207" s="417"/>
      <c r="T207" s="417"/>
      <c r="U207" s="417"/>
      <c r="V207" s="417"/>
      <c r="W207" s="417"/>
      <c r="X207" s="417"/>
      <c r="Y207" s="417"/>
      <c r="Z207" s="417"/>
      <c r="AA207" s="417"/>
      <c r="AB207" s="417"/>
      <c r="AC207" s="417"/>
      <c r="AD207" s="417"/>
      <c r="AE207" s="417"/>
      <c r="AF207" s="417"/>
      <c r="AG207" s="417"/>
      <c r="AH207" s="40"/>
      <c r="AI207" s="40"/>
      <c r="AJ207" s="40"/>
      <c r="AK207" s="40"/>
      <c r="AL207" s="40"/>
      <c r="AM207" s="40"/>
      <c r="AN207" s="40"/>
      <c r="AO207" s="40"/>
      <c r="AP207" s="40"/>
      <c r="AQ207" s="40"/>
      <c r="AR207" s="40"/>
      <c r="AS207" s="40"/>
      <c r="AT207" s="40"/>
    </row>
    <row r="208" spans="2:46" ht="15.6" hidden="1" outlineLevel="1">
      <c r="B208" s="466"/>
      <c r="C208" s="488" t="s">
        <v>101</v>
      </c>
      <c r="D208" s="489"/>
      <c r="E208" s="490"/>
      <c r="F208" s="484"/>
      <c r="H208" s="63" t="s">
        <v>102</v>
      </c>
      <c r="I208" s="491"/>
      <c r="J208" s="64"/>
      <c r="P208" s="417"/>
      <c r="Q208" s="417"/>
      <c r="R208" s="417"/>
      <c r="S208" s="417"/>
      <c r="T208" s="417"/>
      <c r="U208" s="417"/>
      <c r="V208" s="417"/>
      <c r="W208" s="417"/>
      <c r="X208" s="417"/>
      <c r="Y208" s="417"/>
      <c r="Z208" s="417"/>
      <c r="AA208" s="417"/>
      <c r="AB208" s="417"/>
      <c r="AC208" s="417"/>
      <c r="AD208" s="417"/>
      <c r="AE208" s="417"/>
      <c r="AF208" s="417"/>
      <c r="AG208" s="417"/>
      <c r="AH208" s="40"/>
      <c r="AI208" s="40"/>
      <c r="AJ208" s="40"/>
      <c r="AK208" s="40"/>
      <c r="AL208" s="40"/>
      <c r="AM208" s="40"/>
      <c r="AN208" s="40"/>
      <c r="AO208" s="40"/>
      <c r="AP208" s="40"/>
      <c r="AQ208" s="40"/>
      <c r="AR208" s="40"/>
      <c r="AS208" s="40"/>
      <c r="AT208" s="40"/>
    </row>
    <row r="209" spans="1:46" ht="16.2" hidden="1" outlineLevel="1" thickBot="1">
      <c r="B209" s="466"/>
      <c r="C209" s="492" t="s">
        <v>103</v>
      </c>
      <c r="D209" s="493"/>
      <c r="E209" s="494"/>
      <c r="F209" s="484" t="s">
        <v>11</v>
      </c>
      <c r="H209" s="368" t="s">
        <v>104</v>
      </c>
      <c r="I209" s="369"/>
      <c r="J209" s="52"/>
      <c r="P209" s="417"/>
      <c r="Q209" s="417"/>
      <c r="R209" s="417"/>
      <c r="S209" s="417"/>
      <c r="T209" s="417"/>
      <c r="U209" s="417"/>
      <c r="V209" s="417"/>
      <c r="W209" s="417"/>
      <c r="X209" s="417"/>
      <c r="Y209" s="417"/>
      <c r="Z209" s="417"/>
      <c r="AA209" s="417"/>
      <c r="AB209" s="417"/>
      <c r="AC209" s="417"/>
      <c r="AD209" s="417"/>
      <c r="AE209" s="417"/>
      <c r="AF209" s="417"/>
      <c r="AG209" s="417"/>
      <c r="AH209" s="40"/>
      <c r="AI209" s="40"/>
      <c r="AJ209" s="40"/>
      <c r="AK209" s="40"/>
      <c r="AL209" s="40"/>
      <c r="AM209" s="40"/>
      <c r="AN209" s="40"/>
      <c r="AO209" s="40"/>
      <c r="AP209" s="40"/>
      <c r="AQ209" s="40"/>
      <c r="AR209" s="40"/>
      <c r="AS209" s="40"/>
      <c r="AT209" s="40"/>
    </row>
    <row r="210" spans="1:46" ht="16.2" hidden="1" outlineLevel="1" thickBot="1">
      <c r="B210" s="466"/>
      <c r="C210" s="492" t="str">
        <f>"BUDGET END DATE:  "&amp;MONTH(D24)&amp;"/"&amp;DAY(D24)&amp;"/"&amp;YEAR(D24)</f>
        <v>BUDGET END DATE:  8/31/2016</v>
      </c>
      <c r="D210" s="493"/>
      <c r="E210" s="494"/>
      <c r="F210" s="484"/>
      <c r="H210" s="371" t="s">
        <v>105</v>
      </c>
      <c r="I210" s="372" t="s">
        <v>106</v>
      </c>
      <c r="J210" s="100"/>
      <c r="P210" s="417"/>
      <c r="Q210" s="417"/>
      <c r="R210" s="417"/>
      <c r="S210" s="417"/>
      <c r="T210" s="417"/>
      <c r="U210" s="417"/>
      <c r="V210" s="417"/>
      <c r="W210" s="417"/>
      <c r="X210" s="417"/>
      <c r="Y210" s="417"/>
      <c r="Z210" s="417"/>
      <c r="AA210" s="417"/>
      <c r="AB210" s="417"/>
      <c r="AC210" s="417"/>
      <c r="AD210" s="417"/>
      <c r="AE210" s="417"/>
      <c r="AF210" s="417"/>
      <c r="AG210" s="417"/>
      <c r="AH210" s="40"/>
      <c r="AI210" s="40"/>
      <c r="AJ210" s="40"/>
      <c r="AK210" s="40"/>
      <c r="AL210" s="40"/>
      <c r="AM210" s="40"/>
      <c r="AN210" s="40"/>
      <c r="AO210" s="40"/>
      <c r="AP210" s="40"/>
      <c r="AQ210" s="40"/>
      <c r="AR210" s="40"/>
      <c r="AS210" s="40"/>
      <c r="AT210" s="40"/>
    </row>
    <row r="211" spans="1:46" ht="16.2" hidden="1" outlineLevel="1" thickBot="1">
      <c r="B211" s="466"/>
      <c r="C211" s="495" t="s">
        <v>107</v>
      </c>
      <c r="D211" s="496" t="s">
        <v>108</v>
      </c>
      <c r="E211" s="497" t="s">
        <v>109</v>
      </c>
      <c r="F211" s="484" t="s">
        <v>11</v>
      </c>
      <c r="G211" s="111" t="s">
        <v>11</v>
      </c>
      <c r="H211" s="371" t="s">
        <v>110</v>
      </c>
      <c r="I211" s="372" t="s">
        <v>111</v>
      </c>
      <c r="J211" s="100"/>
      <c r="P211" s="417"/>
      <c r="Q211" s="417"/>
      <c r="R211" s="417"/>
      <c r="S211" s="417"/>
      <c r="T211" s="417"/>
      <c r="U211" s="417"/>
      <c r="V211" s="417"/>
      <c r="W211" s="417"/>
      <c r="X211" s="417"/>
      <c r="Y211" s="417"/>
      <c r="Z211" s="417"/>
      <c r="AA211" s="417"/>
      <c r="AB211" s="417"/>
      <c r="AC211" s="417"/>
      <c r="AD211" s="417"/>
      <c r="AE211" s="417"/>
      <c r="AF211" s="417"/>
      <c r="AG211" s="417"/>
      <c r="AH211" s="40"/>
      <c r="AI211" s="40"/>
      <c r="AJ211" s="40"/>
      <c r="AK211" s="40"/>
      <c r="AL211" s="40"/>
      <c r="AM211" s="40"/>
      <c r="AN211" s="40"/>
      <c r="AO211" s="40"/>
      <c r="AP211" s="40"/>
      <c r="AQ211" s="40"/>
      <c r="AR211" s="40"/>
      <c r="AS211" s="40"/>
      <c r="AT211" s="40"/>
    </row>
    <row r="212" spans="1:46" ht="15.6" hidden="1" outlineLevel="1">
      <c r="A212" s="474"/>
      <c r="B212" s="498"/>
      <c r="C212" s="499" t="str">
        <f>IF('Outstanding Oblig.'!E23&lt;&gt;FALSE,'Outstanding Oblig.'!E23,0)</f>
        <v xml:space="preserve"> </v>
      </c>
      <c r="D212" s="500" t="str">
        <f>IF(MID(D188,5,1)="4",MID(Input!D188,4,8)&amp;" verify travel dates",MID(Input!D188,4,8))</f>
        <v/>
      </c>
      <c r="E212" s="501" t="str">
        <f>IF(D188&gt;" ",(IF(DATEVALUE(MID(D188,56,10))&gt;$D$24,"EA",0))," ")</f>
        <v xml:space="preserve"> </v>
      </c>
      <c r="F212" s="484" t="s">
        <v>11</v>
      </c>
      <c r="G212" s="111" t="s">
        <v>11</v>
      </c>
      <c r="H212" s="371" t="s">
        <v>5</v>
      </c>
      <c r="I212" s="373" t="s">
        <v>112</v>
      </c>
      <c r="J212" s="100"/>
      <c r="P212" s="417"/>
      <c r="Q212" s="417"/>
      <c r="R212" s="417"/>
      <c r="S212" s="417"/>
      <c r="T212" s="417"/>
      <c r="U212" s="417"/>
      <c r="V212" s="417"/>
      <c r="W212" s="417"/>
      <c r="X212" s="417"/>
      <c r="Y212" s="417"/>
      <c r="Z212" s="417"/>
      <c r="AA212" s="417"/>
      <c r="AB212" s="417"/>
      <c r="AC212" s="417"/>
      <c r="AD212" s="417"/>
      <c r="AE212" s="417"/>
      <c r="AF212" s="417"/>
      <c r="AG212" s="417"/>
      <c r="AH212" s="40"/>
      <c r="AI212" s="40"/>
      <c r="AJ212" s="40"/>
      <c r="AK212" s="40"/>
      <c r="AL212" s="40"/>
      <c r="AM212" s="40"/>
      <c r="AN212" s="40"/>
      <c r="AO212" s="40"/>
      <c r="AP212" s="40"/>
      <c r="AQ212" s="40"/>
      <c r="AR212" s="40"/>
      <c r="AS212" s="40"/>
      <c r="AT212" s="40"/>
    </row>
    <row r="213" spans="1:46" ht="15.6" hidden="1" outlineLevel="1">
      <c r="A213" s="474"/>
      <c r="B213" s="498"/>
      <c r="C213" s="502" t="str">
        <f>IF('Outstanding Oblig.'!E24&lt;&gt;FALSE,'Outstanding Oblig.'!E24,0)</f>
        <v xml:space="preserve"> </v>
      </c>
      <c r="D213" s="503" t="str">
        <f>IF(MID(D189,5,1)="4",MID(Input!D189,4,8)&amp;" verify travel dates",MID(Input!D189,4,8))</f>
        <v/>
      </c>
      <c r="E213" s="501" t="str">
        <f t="shared" ref="E213:E225" si="4">IF(D189&gt;" ",(IF(DATEVALUE(MID(D189,56,10))&gt;$D$24,"EA",0))," ")</f>
        <v xml:space="preserve"> </v>
      </c>
      <c r="F213" s="484" t="s">
        <v>11</v>
      </c>
      <c r="G213" s="111" t="s">
        <v>11</v>
      </c>
      <c r="H213" s="371" t="s">
        <v>113</v>
      </c>
      <c r="I213" s="373" t="s">
        <v>114</v>
      </c>
      <c r="J213" s="100"/>
      <c r="P213" s="417"/>
      <c r="Q213" s="417"/>
      <c r="R213" s="417"/>
      <c r="S213" s="417"/>
      <c r="T213" s="417"/>
      <c r="U213" s="417"/>
      <c r="V213" s="417"/>
      <c r="W213" s="417"/>
      <c r="X213" s="417"/>
      <c r="Y213" s="417"/>
      <c r="Z213" s="417"/>
      <c r="AA213" s="417"/>
      <c r="AB213" s="417"/>
      <c r="AC213" s="417"/>
      <c r="AD213" s="417"/>
      <c r="AE213" s="417"/>
      <c r="AF213" s="417"/>
      <c r="AG213" s="417"/>
      <c r="AH213" s="40"/>
      <c r="AI213" s="40"/>
      <c r="AJ213" s="40"/>
      <c r="AK213" s="40"/>
      <c r="AL213" s="40"/>
      <c r="AM213" s="40"/>
      <c r="AN213" s="40"/>
      <c r="AO213" s="40"/>
      <c r="AP213" s="40"/>
      <c r="AQ213" s="40"/>
      <c r="AR213" s="40"/>
      <c r="AS213" s="40"/>
      <c r="AT213" s="40"/>
    </row>
    <row r="214" spans="1:46" ht="15.6" hidden="1" outlineLevel="1">
      <c r="A214" s="474"/>
      <c r="B214" s="498"/>
      <c r="C214" s="502" t="str">
        <f>IF('Outstanding Oblig.'!E25&lt;&gt;FALSE,'Outstanding Oblig.'!E25,0)</f>
        <v xml:space="preserve"> </v>
      </c>
      <c r="D214" s="503" t="str">
        <f>IF(MID(D190,5,1)="4",MID(Input!D190,4,8)&amp;" verify travel dates",MID(Input!D190,4,8))</f>
        <v/>
      </c>
      <c r="E214" s="501" t="str">
        <f t="shared" si="4"/>
        <v xml:space="preserve"> </v>
      </c>
      <c r="F214" s="484" t="s">
        <v>11</v>
      </c>
      <c r="G214" s="111" t="s">
        <v>11</v>
      </c>
      <c r="H214" s="371" t="s">
        <v>115</v>
      </c>
      <c r="I214" s="372" t="s">
        <v>116</v>
      </c>
      <c r="J214" s="100"/>
      <c r="P214" s="417"/>
      <c r="Q214" s="417"/>
      <c r="R214" s="417"/>
      <c r="S214" s="417"/>
      <c r="T214" s="417"/>
      <c r="U214" s="417"/>
      <c r="V214" s="417"/>
      <c r="W214" s="417"/>
      <c r="X214" s="417"/>
      <c r="Y214" s="417"/>
      <c r="Z214" s="417"/>
      <c r="AA214" s="417"/>
      <c r="AB214" s="417"/>
      <c r="AC214" s="417"/>
      <c r="AD214" s="417"/>
      <c r="AE214" s="417"/>
      <c r="AF214" s="417"/>
      <c r="AG214" s="417"/>
      <c r="AH214" s="40"/>
      <c r="AI214" s="40"/>
      <c r="AJ214" s="40"/>
      <c r="AK214" s="40"/>
      <c r="AL214" s="40"/>
      <c r="AM214" s="40"/>
      <c r="AN214" s="40"/>
      <c r="AO214" s="40"/>
      <c r="AP214" s="40"/>
      <c r="AQ214" s="40"/>
      <c r="AR214" s="40"/>
      <c r="AS214" s="40"/>
      <c r="AT214" s="40"/>
    </row>
    <row r="215" spans="1:46" ht="15.6" hidden="1" outlineLevel="1">
      <c r="A215" s="474"/>
      <c r="B215" s="498"/>
      <c r="C215" s="502" t="str">
        <f>IF('Outstanding Oblig.'!E26&lt;&gt;FALSE,'Outstanding Oblig.'!E26,0)</f>
        <v xml:space="preserve"> </v>
      </c>
      <c r="D215" s="503" t="str">
        <f>IF(MID(D191,5,1)="4",MID(Input!D191,4,8)&amp;" verify travel dates",MID(Input!D191,4,8))</f>
        <v/>
      </c>
      <c r="E215" s="501" t="str">
        <f t="shared" si="4"/>
        <v xml:space="preserve"> </v>
      </c>
      <c r="F215" s="484" t="s">
        <v>11</v>
      </c>
      <c r="G215" s="111" t="s">
        <v>11</v>
      </c>
      <c r="H215" s="371" t="s">
        <v>117</v>
      </c>
      <c r="I215" s="372" t="s">
        <v>118</v>
      </c>
      <c r="J215" s="100"/>
      <c r="P215" s="417"/>
      <c r="Q215" s="417"/>
      <c r="R215" s="417"/>
      <c r="S215" s="417"/>
      <c r="T215" s="417"/>
      <c r="U215" s="417"/>
      <c r="V215" s="417"/>
      <c r="W215" s="417"/>
      <c r="X215" s="417"/>
      <c r="Y215" s="417"/>
      <c r="Z215" s="417"/>
      <c r="AA215" s="417"/>
      <c r="AB215" s="417"/>
      <c r="AC215" s="417"/>
      <c r="AD215" s="417"/>
      <c r="AE215" s="417"/>
      <c r="AF215" s="417"/>
      <c r="AG215" s="417"/>
      <c r="AH215" s="40"/>
      <c r="AI215" s="40"/>
      <c r="AJ215" s="40"/>
      <c r="AK215" s="40"/>
      <c r="AL215" s="40"/>
      <c r="AM215" s="40"/>
      <c r="AN215" s="40"/>
      <c r="AO215" s="40"/>
      <c r="AP215" s="40"/>
      <c r="AQ215" s="40"/>
      <c r="AR215" s="40"/>
      <c r="AS215" s="40"/>
      <c r="AT215" s="40"/>
    </row>
    <row r="216" spans="1:46" ht="15.6" hidden="1" outlineLevel="1">
      <c r="A216" s="474"/>
      <c r="B216" s="498"/>
      <c r="C216" s="502" t="str">
        <f>IF('Outstanding Oblig.'!E27&lt;&gt;FALSE,'Outstanding Oblig.'!E27,0)</f>
        <v xml:space="preserve"> </v>
      </c>
      <c r="D216" s="503" t="str">
        <f>IF(MID(D192,5,1)="4",MID(Input!D192,4,8)&amp;" verify travel dates",MID(Input!D192,4,8))</f>
        <v/>
      </c>
      <c r="E216" s="501" t="str">
        <f t="shared" si="4"/>
        <v xml:space="preserve"> </v>
      </c>
      <c r="F216" s="484" t="s">
        <v>11</v>
      </c>
      <c r="G216" s="111" t="s">
        <v>11</v>
      </c>
      <c r="H216" s="371" t="s">
        <v>119</v>
      </c>
      <c r="I216" s="376" t="s">
        <v>120</v>
      </c>
      <c r="J216" s="100"/>
      <c r="P216" s="417"/>
      <c r="Q216" s="417"/>
      <c r="R216" s="417"/>
      <c r="S216" s="417"/>
      <c r="T216" s="417"/>
      <c r="U216" s="417"/>
      <c r="V216" s="417"/>
      <c r="W216" s="417"/>
      <c r="X216" s="417"/>
      <c r="Y216" s="417"/>
      <c r="Z216" s="417"/>
      <c r="AA216" s="417"/>
      <c r="AB216" s="417"/>
      <c r="AC216" s="417"/>
      <c r="AD216" s="417"/>
      <c r="AE216" s="417"/>
      <c r="AF216" s="417"/>
      <c r="AG216" s="417"/>
      <c r="AH216" s="40"/>
      <c r="AI216" s="40"/>
      <c r="AJ216" s="40"/>
      <c r="AK216" s="40"/>
      <c r="AL216" s="40"/>
      <c r="AM216" s="40"/>
      <c r="AN216" s="40"/>
      <c r="AO216" s="40"/>
      <c r="AP216" s="40"/>
      <c r="AQ216" s="40"/>
      <c r="AR216" s="40"/>
      <c r="AS216" s="40"/>
      <c r="AT216" s="40"/>
    </row>
    <row r="217" spans="1:46" ht="15.6" hidden="1" outlineLevel="1">
      <c r="A217" s="474"/>
      <c r="B217" s="498"/>
      <c r="C217" s="502" t="str">
        <f>IF('Outstanding Oblig.'!E28&lt;&gt;FALSE,'Outstanding Oblig.'!E28,0)</f>
        <v xml:space="preserve"> </v>
      </c>
      <c r="D217" s="503" t="str">
        <f>IF(MID(D193,5,1)="4",MID(Input!D193,4,8)&amp;" verify travel dates",MID(Input!D193,4,8))</f>
        <v/>
      </c>
      <c r="E217" s="501" t="str">
        <f t="shared" si="4"/>
        <v xml:space="preserve"> </v>
      </c>
      <c r="F217" s="484" t="s">
        <v>11</v>
      </c>
      <c r="H217" s="371" t="s">
        <v>121</v>
      </c>
      <c r="I217" s="376" t="s">
        <v>122</v>
      </c>
      <c r="J217" s="100"/>
      <c r="P217" s="417"/>
      <c r="Q217" s="417"/>
      <c r="R217" s="417"/>
      <c r="S217" s="417"/>
      <c r="T217" s="417"/>
      <c r="U217" s="417"/>
      <c r="V217" s="417"/>
      <c r="W217" s="417"/>
      <c r="X217" s="417"/>
      <c r="Y217" s="417"/>
      <c r="Z217" s="417"/>
      <c r="AA217" s="417"/>
      <c r="AB217" s="417"/>
      <c r="AC217" s="417"/>
      <c r="AD217" s="417"/>
      <c r="AE217" s="417"/>
      <c r="AF217" s="417"/>
      <c r="AG217" s="417"/>
      <c r="AH217" s="40"/>
      <c r="AI217" s="40"/>
      <c r="AJ217" s="40"/>
      <c r="AK217" s="40"/>
      <c r="AL217" s="40"/>
      <c r="AM217" s="40"/>
      <c r="AN217" s="40"/>
      <c r="AO217" s="40"/>
      <c r="AP217" s="40"/>
      <c r="AQ217" s="40"/>
      <c r="AR217" s="40"/>
      <c r="AS217" s="40"/>
      <c r="AT217" s="40"/>
    </row>
    <row r="218" spans="1:46" ht="15.6" hidden="1" outlineLevel="1">
      <c r="A218" s="474"/>
      <c r="B218" s="498"/>
      <c r="C218" s="502" t="str">
        <f>IF('Outstanding Oblig.'!E29&lt;&gt;FALSE,'Outstanding Oblig.'!E29,0)</f>
        <v xml:space="preserve"> </v>
      </c>
      <c r="D218" s="503" t="str">
        <f>IF(MID(D194,5,1)="4",MID(Input!D194,4,8)&amp;" verify travel dates",MID(Input!D194,4,8))</f>
        <v/>
      </c>
      <c r="E218" s="501" t="str">
        <f t="shared" si="4"/>
        <v xml:space="preserve"> </v>
      </c>
      <c r="F218" s="484" t="s">
        <v>11</v>
      </c>
      <c r="J218" s="417"/>
      <c r="P218" s="417"/>
      <c r="Q218" s="417"/>
      <c r="R218" s="417"/>
      <c r="S218" s="417"/>
      <c r="T218" s="417"/>
      <c r="U218" s="417"/>
      <c r="V218" s="417"/>
      <c r="W218" s="417"/>
      <c r="X218" s="417"/>
      <c r="Y218" s="417"/>
      <c r="Z218" s="417"/>
      <c r="AA218" s="417"/>
      <c r="AB218" s="417"/>
      <c r="AC218" s="417"/>
      <c r="AD218" s="417"/>
      <c r="AE218" s="417"/>
      <c r="AF218" s="417"/>
      <c r="AG218" s="417"/>
      <c r="AH218" s="40"/>
      <c r="AI218" s="40"/>
      <c r="AJ218" s="40"/>
      <c r="AK218" s="40"/>
      <c r="AL218" s="40"/>
      <c r="AM218" s="40"/>
      <c r="AN218" s="40"/>
      <c r="AO218" s="40"/>
      <c r="AP218" s="40"/>
      <c r="AQ218" s="40"/>
      <c r="AR218" s="40"/>
      <c r="AS218" s="40"/>
      <c r="AT218" s="40"/>
    </row>
    <row r="219" spans="1:46" ht="15.6" hidden="1" outlineLevel="1">
      <c r="A219" s="474"/>
      <c r="B219" s="498"/>
      <c r="C219" s="502" t="str">
        <f>IF('Outstanding Oblig.'!E30&lt;&gt;FALSE,'Outstanding Oblig.'!E30,0)</f>
        <v xml:space="preserve"> </v>
      </c>
      <c r="D219" s="503" t="str">
        <f>IF(MID(D195,5,1)="4",MID(Input!D195,4,8)&amp;" verify travel dates",MID(Input!D195,4,8))</f>
        <v/>
      </c>
      <c r="E219" s="501" t="str">
        <f t="shared" si="4"/>
        <v xml:space="preserve"> </v>
      </c>
      <c r="F219" s="484" t="s">
        <v>11</v>
      </c>
      <c r="J219" s="417"/>
      <c r="P219" s="417"/>
      <c r="Q219" s="417"/>
      <c r="R219" s="417"/>
      <c r="S219" s="417"/>
      <c r="T219" s="417"/>
      <c r="U219" s="417"/>
      <c r="V219" s="417"/>
      <c r="W219" s="417"/>
      <c r="X219" s="417"/>
      <c r="Y219" s="417"/>
      <c r="Z219" s="417"/>
      <c r="AA219" s="417"/>
      <c r="AB219" s="417"/>
      <c r="AC219" s="417"/>
      <c r="AD219" s="417"/>
      <c r="AE219" s="417"/>
      <c r="AF219" s="417"/>
      <c r="AG219" s="417"/>
      <c r="AH219" s="40"/>
      <c r="AI219" s="40"/>
      <c r="AJ219" s="40"/>
      <c r="AK219" s="40"/>
      <c r="AL219" s="40"/>
      <c r="AM219" s="40"/>
      <c r="AN219" s="40"/>
      <c r="AO219" s="40"/>
      <c r="AP219" s="40"/>
      <c r="AQ219" s="40"/>
      <c r="AR219" s="40"/>
      <c r="AS219" s="40"/>
      <c r="AT219" s="40"/>
    </row>
    <row r="220" spans="1:46" ht="15.6" hidden="1" outlineLevel="1">
      <c r="A220" s="474"/>
      <c r="B220" s="498"/>
      <c r="C220" s="502" t="str">
        <f>IF('Outstanding Oblig.'!E31&lt;&gt;FALSE,'Outstanding Oblig.'!E31,0)</f>
        <v xml:space="preserve"> </v>
      </c>
      <c r="D220" s="503" t="str">
        <f>IF(MID(D196,5,1)="4",MID(Input!D196,4,8)&amp;" verify travel dates",MID(Input!D196,4,8))</f>
        <v/>
      </c>
      <c r="E220" s="501" t="str">
        <f t="shared" si="4"/>
        <v xml:space="preserve"> </v>
      </c>
      <c r="F220" s="484" t="s">
        <v>11</v>
      </c>
      <c r="J220" s="417"/>
      <c r="P220" s="417"/>
      <c r="Q220" s="417"/>
      <c r="R220" s="417"/>
      <c r="S220" s="417"/>
      <c r="T220" s="417"/>
      <c r="U220" s="417"/>
      <c r="V220" s="417"/>
      <c r="W220" s="417"/>
      <c r="X220" s="417"/>
      <c r="Y220" s="417"/>
      <c r="Z220" s="417"/>
      <c r="AA220" s="417"/>
      <c r="AB220" s="417"/>
      <c r="AC220" s="417"/>
      <c r="AD220" s="417"/>
      <c r="AE220" s="417"/>
      <c r="AF220" s="417"/>
      <c r="AG220" s="417"/>
      <c r="AH220" s="40"/>
      <c r="AI220" s="40"/>
      <c r="AJ220" s="40"/>
      <c r="AK220" s="40"/>
      <c r="AL220" s="40"/>
      <c r="AM220" s="40"/>
      <c r="AN220" s="40"/>
      <c r="AO220" s="40"/>
      <c r="AP220" s="40"/>
      <c r="AQ220" s="40"/>
      <c r="AR220" s="40"/>
      <c r="AS220" s="40"/>
      <c r="AT220" s="40"/>
    </row>
    <row r="221" spans="1:46" ht="15.6" hidden="1" outlineLevel="1">
      <c r="A221" s="474"/>
      <c r="B221" s="498"/>
      <c r="C221" s="502" t="str">
        <f>IF('Outstanding Oblig.'!E32&lt;&gt;FALSE,'Outstanding Oblig.'!E32,0)</f>
        <v xml:space="preserve"> </v>
      </c>
      <c r="D221" s="503" t="str">
        <f>IF(MID(D197,5,1)="4",MID(Input!D197,4,8)&amp;" verify travel dates",MID(Input!D197,4,8))</f>
        <v/>
      </c>
      <c r="E221" s="501" t="str">
        <f t="shared" si="4"/>
        <v xml:space="preserve"> </v>
      </c>
      <c r="F221" s="484" t="s">
        <v>11</v>
      </c>
      <c r="J221" s="417"/>
      <c r="P221" s="417"/>
      <c r="Q221" s="417"/>
      <c r="R221" s="417"/>
      <c r="S221" s="417"/>
      <c r="T221" s="417"/>
      <c r="U221" s="417"/>
      <c r="V221" s="417"/>
      <c r="W221" s="417"/>
      <c r="X221" s="417"/>
      <c r="Y221" s="417"/>
      <c r="Z221" s="417"/>
      <c r="AA221" s="417"/>
      <c r="AB221" s="417"/>
      <c r="AC221" s="417"/>
      <c r="AD221" s="417"/>
      <c r="AE221" s="417"/>
      <c r="AF221" s="417"/>
      <c r="AG221" s="417"/>
      <c r="AH221" s="40"/>
      <c r="AI221" s="40"/>
      <c r="AJ221" s="40"/>
      <c r="AK221" s="40"/>
      <c r="AL221" s="40"/>
      <c r="AM221" s="40"/>
      <c r="AN221" s="40"/>
      <c r="AO221" s="40"/>
      <c r="AP221" s="40"/>
      <c r="AQ221" s="40"/>
      <c r="AR221" s="40"/>
      <c r="AS221" s="40"/>
      <c r="AT221" s="40"/>
    </row>
    <row r="222" spans="1:46" ht="15.6" hidden="1" outlineLevel="1">
      <c r="A222" s="474"/>
      <c r="B222" s="498"/>
      <c r="C222" s="502" t="str">
        <f>IF('Outstanding Oblig.'!E33&lt;&gt;FALSE,'Outstanding Oblig.'!E33,0)</f>
        <v xml:space="preserve"> </v>
      </c>
      <c r="D222" s="503" t="str">
        <f>IF(MID(D198,5,1)="4",MID(Input!D198,4,8)&amp;" verify travel dates",MID(Input!D198,4,8))</f>
        <v/>
      </c>
      <c r="E222" s="501" t="str">
        <f t="shared" si="4"/>
        <v xml:space="preserve"> </v>
      </c>
      <c r="F222" s="484" t="s">
        <v>11</v>
      </c>
      <c r="J222" s="417"/>
      <c r="P222" s="417"/>
      <c r="Q222" s="417"/>
      <c r="R222" s="417"/>
      <c r="S222" s="417"/>
      <c r="T222" s="417"/>
      <c r="U222" s="417"/>
      <c r="V222" s="417"/>
      <c r="W222" s="417"/>
      <c r="X222" s="417"/>
      <c r="Y222" s="417"/>
      <c r="Z222" s="417"/>
      <c r="AA222" s="417"/>
      <c r="AB222" s="417"/>
      <c r="AC222" s="417"/>
      <c r="AD222" s="417"/>
      <c r="AE222" s="417"/>
      <c r="AF222" s="417"/>
      <c r="AG222" s="417"/>
      <c r="AH222" s="40"/>
      <c r="AI222" s="40"/>
      <c r="AJ222" s="40"/>
      <c r="AK222" s="40"/>
      <c r="AL222" s="40"/>
      <c r="AM222" s="40"/>
      <c r="AN222" s="40"/>
      <c r="AO222" s="40"/>
      <c r="AP222" s="40"/>
      <c r="AQ222" s="40"/>
      <c r="AR222" s="40"/>
      <c r="AS222" s="40"/>
      <c r="AT222" s="40"/>
    </row>
    <row r="223" spans="1:46" ht="15.6" hidden="1" outlineLevel="1">
      <c r="A223" s="474"/>
      <c r="B223" s="498"/>
      <c r="C223" s="502" t="str">
        <f>IF('Outstanding Oblig.'!E34&lt;&gt;FALSE,'Outstanding Oblig.'!E34,0)</f>
        <v xml:space="preserve"> </v>
      </c>
      <c r="D223" s="503" t="str">
        <f>IF(MID(D199,5,1)="4",MID(Input!D199,4,8)&amp;" verify travel dates",MID(Input!D199,4,8))</f>
        <v/>
      </c>
      <c r="E223" s="501" t="str">
        <f t="shared" si="4"/>
        <v xml:space="preserve"> </v>
      </c>
      <c r="F223" s="484" t="s">
        <v>11</v>
      </c>
      <c r="J223" s="417"/>
      <c r="P223" s="417"/>
      <c r="Q223" s="417"/>
      <c r="R223" s="417"/>
      <c r="S223" s="417"/>
      <c r="T223" s="417"/>
      <c r="U223" s="417"/>
      <c r="V223" s="417"/>
      <c r="W223" s="417"/>
      <c r="X223" s="417"/>
      <c r="Y223" s="417"/>
      <c r="Z223" s="417"/>
      <c r="AA223" s="417"/>
      <c r="AB223" s="417"/>
      <c r="AC223" s="417"/>
      <c r="AD223" s="417"/>
      <c r="AE223" s="417"/>
      <c r="AF223" s="417"/>
      <c r="AG223" s="417"/>
      <c r="AH223" s="40"/>
      <c r="AI223" s="40"/>
      <c r="AJ223" s="40"/>
      <c r="AK223" s="40"/>
      <c r="AL223" s="40"/>
      <c r="AM223" s="40"/>
      <c r="AN223" s="40"/>
      <c r="AO223" s="40"/>
      <c r="AP223" s="40"/>
      <c r="AQ223" s="40"/>
      <c r="AR223" s="40"/>
      <c r="AS223" s="40"/>
      <c r="AT223" s="40"/>
    </row>
    <row r="224" spans="1:46" ht="15.6" hidden="1" outlineLevel="1">
      <c r="A224" s="474"/>
      <c r="B224" s="498"/>
      <c r="C224" s="502" t="str">
        <f>IF('Outstanding Oblig.'!E35&lt;&gt;FALSE,'Outstanding Oblig.'!E35,0)</f>
        <v xml:space="preserve"> </v>
      </c>
      <c r="D224" s="503" t="str">
        <f>IF(MID(D200,5,1)="4",MID(Input!D200,4,8)&amp;" verify travel dates",MID(Input!D200,4,8))</f>
        <v/>
      </c>
      <c r="E224" s="501" t="str">
        <f t="shared" si="4"/>
        <v xml:space="preserve"> </v>
      </c>
      <c r="F224" s="484" t="s">
        <v>11</v>
      </c>
      <c r="J224" s="417"/>
      <c r="P224" s="417"/>
      <c r="Q224" s="417"/>
      <c r="R224" s="417"/>
      <c r="S224" s="417"/>
      <c r="T224" s="417"/>
      <c r="U224" s="417"/>
      <c r="V224" s="417"/>
      <c r="W224" s="417"/>
      <c r="X224" s="417"/>
      <c r="Y224" s="417"/>
      <c r="Z224" s="417"/>
      <c r="AA224" s="417"/>
      <c r="AB224" s="417"/>
      <c r="AC224" s="417"/>
      <c r="AD224" s="417"/>
      <c r="AE224" s="417"/>
      <c r="AF224" s="417"/>
      <c r="AG224" s="417"/>
      <c r="AH224" s="40"/>
      <c r="AI224" s="40"/>
      <c r="AJ224" s="40"/>
      <c r="AK224" s="40"/>
      <c r="AL224" s="40"/>
      <c r="AM224" s="40"/>
      <c r="AN224" s="40"/>
      <c r="AO224" s="40"/>
      <c r="AP224" s="40"/>
      <c r="AQ224" s="40"/>
      <c r="AR224" s="40"/>
      <c r="AS224" s="40"/>
      <c r="AT224" s="40"/>
    </row>
    <row r="225" spans="1:46" ht="15.6" hidden="1" outlineLevel="1">
      <c r="A225" s="474"/>
      <c r="B225" s="498"/>
      <c r="C225" s="502" t="str">
        <f>IF('Outstanding Oblig.'!E36&lt;&gt;FALSE,'Outstanding Oblig.'!E36,0)</f>
        <v xml:space="preserve"> </v>
      </c>
      <c r="D225" s="504" t="str">
        <f>IF(MID(D201,5,1)="4",MID(Input!D201,4,8)&amp;" verify travel dates",MID(Input!D201,4,8))</f>
        <v/>
      </c>
      <c r="E225" s="501" t="str">
        <f t="shared" si="4"/>
        <v xml:space="preserve"> </v>
      </c>
      <c r="F225" s="484" t="s">
        <v>11</v>
      </c>
      <c r="J225" s="417"/>
      <c r="P225" s="417"/>
      <c r="Q225" s="417"/>
      <c r="R225" s="417"/>
      <c r="S225" s="417"/>
      <c r="T225" s="417"/>
      <c r="U225" s="417"/>
      <c r="V225" s="417"/>
      <c r="W225" s="417"/>
      <c r="X225" s="417"/>
      <c r="Y225" s="417"/>
      <c r="Z225" s="417"/>
      <c r="AA225" s="417"/>
      <c r="AB225" s="417"/>
      <c r="AC225" s="417"/>
      <c r="AD225" s="417"/>
      <c r="AE225" s="417"/>
      <c r="AF225" s="417"/>
      <c r="AG225" s="417"/>
      <c r="AH225" s="40"/>
      <c r="AI225" s="40"/>
      <c r="AJ225" s="40"/>
      <c r="AK225" s="40"/>
      <c r="AL225" s="40"/>
      <c r="AM225" s="40"/>
      <c r="AN225" s="40"/>
      <c r="AO225" s="40"/>
      <c r="AP225" s="40"/>
      <c r="AQ225" s="40"/>
      <c r="AR225" s="40"/>
      <c r="AS225" s="40"/>
      <c r="AT225" s="40"/>
    </row>
    <row r="226" spans="1:46" ht="15.6" hidden="1" outlineLevel="1">
      <c r="A226" s="474"/>
      <c r="B226" s="498"/>
      <c r="C226" s="502" t="str">
        <f>IF('Outstanding Oblig.'!E37&lt;&gt;FALSE,'Outstanding Oblig.'!E37,0)</f>
        <v xml:space="preserve"> </v>
      </c>
      <c r="D226" s="504" t="str">
        <f>IF(MID(E188,5,1)="4",MID(Input!E188,4,8)&amp;" verify travel dates",MID(Input!E188,4,8))</f>
        <v/>
      </c>
      <c r="E226" s="505" t="str">
        <f>IF(E188&gt;" ",(IF(DATEVALUE(MID(E188,56,10))&gt;$D$24,"EA",0))," ")</f>
        <v xml:space="preserve"> </v>
      </c>
      <c r="F226" s="484" t="s">
        <v>123</v>
      </c>
      <c r="J226" s="417"/>
      <c r="P226" s="417"/>
      <c r="Q226" s="417"/>
      <c r="R226" s="417"/>
      <c r="S226" s="417"/>
      <c r="T226" s="417"/>
      <c r="U226" s="417"/>
      <c r="V226" s="417"/>
      <c r="W226" s="417"/>
      <c r="X226" s="417"/>
      <c r="Y226" s="417"/>
      <c r="Z226" s="417"/>
      <c r="AA226" s="417"/>
      <c r="AB226" s="417"/>
      <c r="AC226" s="417"/>
      <c r="AD226" s="417"/>
      <c r="AE226" s="417"/>
      <c r="AF226" s="417"/>
      <c r="AG226" s="417"/>
      <c r="AH226" s="40"/>
      <c r="AI226" s="40"/>
      <c r="AJ226" s="40"/>
      <c r="AK226" s="40"/>
      <c r="AL226" s="40"/>
      <c r="AM226" s="40"/>
      <c r="AN226" s="40"/>
      <c r="AO226" s="40"/>
      <c r="AP226" s="40"/>
      <c r="AQ226" s="40"/>
      <c r="AR226" s="40"/>
      <c r="AS226" s="40"/>
      <c r="AT226" s="40"/>
    </row>
    <row r="227" spans="1:46" ht="15.6" hidden="1" outlineLevel="1">
      <c r="A227" s="474"/>
      <c r="B227" s="498"/>
      <c r="C227" s="502" t="str">
        <f>IF('Outstanding Oblig.'!E38&lt;&gt;FALSE,'Outstanding Oblig.'!E38,0)</f>
        <v xml:space="preserve"> </v>
      </c>
      <c r="D227" s="504" t="str">
        <f>IF(MID(E189,5,1)="4",MID(Input!E189,4,8)&amp;" verify travel dates",MID(Input!E189,4,8))</f>
        <v/>
      </c>
      <c r="E227" s="505" t="str">
        <f t="shared" ref="E227:E239" si="5">IF(E189&gt;" ",(IF(DATEVALUE(MID(E189,56,10))&gt;$D$24,"EA",0))," ")</f>
        <v xml:space="preserve"> </v>
      </c>
      <c r="F227" s="484" t="s">
        <v>11</v>
      </c>
      <c r="J227" s="417"/>
      <c r="P227" s="417"/>
      <c r="Q227" s="417"/>
      <c r="R227" s="417"/>
      <c r="S227" s="417"/>
      <c r="T227" s="417"/>
      <c r="U227" s="417"/>
      <c r="V227" s="417"/>
      <c r="W227" s="417"/>
      <c r="X227" s="417"/>
      <c r="Y227" s="417"/>
      <c r="Z227" s="417"/>
      <c r="AA227" s="417"/>
      <c r="AB227" s="417"/>
      <c r="AC227" s="417"/>
      <c r="AD227" s="417"/>
      <c r="AE227" s="417"/>
      <c r="AF227" s="417"/>
      <c r="AG227" s="417"/>
      <c r="AH227" s="40"/>
      <c r="AI227" s="40"/>
      <c r="AJ227" s="40"/>
      <c r="AK227" s="40"/>
      <c r="AL227" s="40"/>
      <c r="AM227" s="40"/>
      <c r="AN227" s="40"/>
      <c r="AO227" s="40"/>
      <c r="AP227" s="40"/>
      <c r="AQ227" s="40"/>
      <c r="AR227" s="40"/>
      <c r="AS227" s="40"/>
      <c r="AT227" s="40"/>
    </row>
    <row r="228" spans="1:46" ht="15.6" hidden="1" outlineLevel="1">
      <c r="A228" s="474"/>
      <c r="B228" s="498"/>
      <c r="C228" s="502" t="str">
        <f>IF('Outstanding Oblig.'!E39&lt;&gt;FALSE,'Outstanding Oblig.'!E39,0)</f>
        <v xml:space="preserve"> </v>
      </c>
      <c r="D228" s="504" t="str">
        <f>IF(MID(E190,5,1)="4",MID(Input!E190,4,8)&amp;" verify travel dates",MID(Input!E190,4,8))</f>
        <v/>
      </c>
      <c r="E228" s="505" t="str">
        <f t="shared" si="5"/>
        <v xml:space="preserve"> </v>
      </c>
      <c r="F228" s="484" t="s">
        <v>11</v>
      </c>
      <c r="J228" s="417"/>
      <c r="P228" s="417"/>
      <c r="Q228" s="417"/>
      <c r="R228" s="417"/>
      <c r="S228" s="417"/>
      <c r="T228" s="417"/>
      <c r="U228" s="417"/>
      <c r="V228" s="417"/>
      <c r="W228" s="417"/>
      <c r="X228" s="417"/>
      <c r="Y228" s="417"/>
      <c r="Z228" s="417"/>
      <c r="AA228" s="417"/>
      <c r="AB228" s="417"/>
      <c r="AC228" s="417"/>
      <c r="AD228" s="417"/>
      <c r="AE228" s="417"/>
      <c r="AF228" s="417"/>
      <c r="AG228" s="417"/>
      <c r="AH228" s="40"/>
      <c r="AI228" s="40"/>
      <c r="AJ228" s="40"/>
      <c r="AK228" s="40"/>
      <c r="AL228" s="40"/>
      <c r="AM228" s="40"/>
      <c r="AN228" s="40"/>
      <c r="AO228" s="40"/>
      <c r="AP228" s="40"/>
      <c r="AQ228" s="40"/>
      <c r="AR228" s="40"/>
      <c r="AS228" s="40"/>
      <c r="AT228" s="40"/>
    </row>
    <row r="229" spans="1:46" ht="15.6" hidden="1" outlineLevel="1">
      <c r="A229" s="474"/>
      <c r="B229" s="498"/>
      <c r="C229" s="502" t="str">
        <f>IF('Outstanding Oblig.'!E40&lt;&gt;FALSE,'Outstanding Oblig.'!E40,0)</f>
        <v xml:space="preserve"> </v>
      </c>
      <c r="D229" s="504" t="str">
        <f>IF(MID(E191,5,1)="4",MID(Input!E191,4,8)&amp;" verify travel dates",MID(Input!E191,4,8))</f>
        <v/>
      </c>
      <c r="E229" s="505" t="str">
        <f t="shared" si="5"/>
        <v xml:space="preserve"> </v>
      </c>
      <c r="F229" s="484" t="s">
        <v>11</v>
      </c>
      <c r="J229" s="417"/>
      <c r="P229" s="417"/>
      <c r="Q229" s="417"/>
      <c r="R229" s="417"/>
      <c r="S229" s="417"/>
      <c r="T229" s="417"/>
      <c r="U229" s="417"/>
      <c r="V229" s="417"/>
      <c r="W229" s="417"/>
      <c r="X229" s="417"/>
      <c r="Y229" s="417"/>
      <c r="Z229" s="417"/>
      <c r="AA229" s="417"/>
      <c r="AB229" s="417"/>
      <c r="AC229" s="417"/>
      <c r="AD229" s="417"/>
      <c r="AE229" s="417"/>
      <c r="AF229" s="417"/>
      <c r="AG229" s="417"/>
      <c r="AH229" s="40"/>
      <c r="AI229" s="40"/>
      <c r="AJ229" s="40"/>
      <c r="AK229" s="40"/>
      <c r="AL229" s="40"/>
      <c r="AM229" s="40"/>
      <c r="AN229" s="40"/>
      <c r="AO229" s="40"/>
      <c r="AP229" s="40"/>
      <c r="AQ229" s="40"/>
      <c r="AR229" s="40"/>
      <c r="AS229" s="40"/>
      <c r="AT229" s="40"/>
    </row>
    <row r="230" spans="1:46" ht="15.6" hidden="1" outlineLevel="1">
      <c r="A230" s="474"/>
      <c r="B230" s="498"/>
      <c r="C230" s="502" t="str">
        <f>IF('Outstanding Oblig.'!E41&lt;&gt;FALSE,'Outstanding Oblig.'!E41,0)</f>
        <v xml:space="preserve"> </v>
      </c>
      <c r="D230" s="504" t="str">
        <f>IF(MID(E192,5,1)="4",MID(Input!E192,4,8)&amp;" verify travel dates",MID(Input!E192,4,8))</f>
        <v/>
      </c>
      <c r="E230" s="505" t="str">
        <f t="shared" si="5"/>
        <v xml:space="preserve"> </v>
      </c>
      <c r="F230" s="484" t="s">
        <v>11</v>
      </c>
      <c r="J230" s="417"/>
      <c r="P230" s="417"/>
      <c r="Q230" s="417"/>
      <c r="R230" s="417"/>
      <c r="S230" s="417"/>
      <c r="T230" s="417"/>
      <c r="U230" s="417"/>
      <c r="V230" s="417"/>
      <c r="W230" s="417"/>
      <c r="X230" s="417"/>
      <c r="Y230" s="417"/>
      <c r="Z230" s="417"/>
      <c r="AA230" s="417"/>
      <c r="AB230" s="417"/>
      <c r="AC230" s="417"/>
      <c r="AD230" s="417"/>
      <c r="AE230" s="417"/>
      <c r="AF230" s="417"/>
      <c r="AG230" s="417"/>
      <c r="AH230" s="40"/>
      <c r="AI230" s="40"/>
      <c r="AJ230" s="40"/>
      <c r="AK230" s="40"/>
      <c r="AL230" s="40"/>
      <c r="AM230" s="40"/>
      <c r="AN230" s="40"/>
      <c r="AO230" s="40"/>
      <c r="AP230" s="40"/>
      <c r="AQ230" s="40"/>
      <c r="AR230" s="40"/>
      <c r="AS230" s="40"/>
      <c r="AT230" s="40"/>
    </row>
    <row r="231" spans="1:46" ht="15.6" hidden="1" outlineLevel="1">
      <c r="A231" s="474"/>
      <c r="B231" s="498"/>
      <c r="C231" s="502" t="str">
        <f>IF('Outstanding Oblig.'!E42&lt;&gt;FALSE,'Outstanding Oblig.'!E42,0)</f>
        <v xml:space="preserve"> </v>
      </c>
      <c r="D231" s="504" t="str">
        <f>IF(MID(E193,5,1)="4",MID(Input!E193,4,8)&amp;" verify travel dates",MID(Input!E193,4,8))</f>
        <v/>
      </c>
      <c r="E231" s="505" t="str">
        <f t="shared" si="5"/>
        <v xml:space="preserve"> </v>
      </c>
      <c r="F231" s="484" t="s">
        <v>11</v>
      </c>
      <c r="J231" s="417"/>
      <c r="P231" s="417"/>
      <c r="Q231" s="417"/>
      <c r="R231" s="417"/>
      <c r="S231" s="417"/>
      <c r="T231" s="417"/>
      <c r="U231" s="417"/>
      <c r="V231" s="417"/>
      <c r="W231" s="417"/>
      <c r="X231" s="417"/>
      <c r="Y231" s="417"/>
      <c r="Z231" s="417"/>
      <c r="AA231" s="417"/>
      <c r="AB231" s="417"/>
      <c r="AC231" s="417"/>
      <c r="AD231" s="417"/>
      <c r="AE231" s="417"/>
      <c r="AF231" s="417"/>
      <c r="AG231" s="417"/>
      <c r="AH231" s="40"/>
      <c r="AI231" s="40"/>
      <c r="AJ231" s="40"/>
      <c r="AK231" s="40"/>
      <c r="AL231" s="40"/>
      <c r="AM231" s="40"/>
      <c r="AN231" s="40"/>
      <c r="AO231" s="40"/>
      <c r="AP231" s="40"/>
      <c r="AQ231" s="40"/>
      <c r="AR231" s="40"/>
      <c r="AS231" s="40"/>
      <c r="AT231" s="40"/>
    </row>
    <row r="232" spans="1:46" ht="15.6" hidden="1" outlineLevel="1">
      <c r="A232" s="474"/>
      <c r="B232" s="498"/>
      <c r="C232" s="502" t="str">
        <f>IF('Outstanding Oblig.'!E43&lt;&gt;FALSE,'Outstanding Oblig.'!E43,0)</f>
        <v xml:space="preserve"> </v>
      </c>
      <c r="D232" s="504" t="str">
        <f>IF(MID(E194,5,1)="4",MID(Input!E194,4,8)&amp;" verify travel dates",MID(Input!E194,4,8))</f>
        <v/>
      </c>
      <c r="E232" s="505" t="str">
        <f t="shared" si="5"/>
        <v xml:space="preserve"> </v>
      </c>
      <c r="F232" s="484" t="s">
        <v>11</v>
      </c>
      <c r="J232" s="417"/>
      <c r="P232" s="417"/>
      <c r="Q232" s="417"/>
      <c r="R232" s="417"/>
      <c r="S232" s="417"/>
      <c r="T232" s="417"/>
      <c r="U232" s="417"/>
      <c r="V232" s="417"/>
      <c r="W232" s="417"/>
      <c r="X232" s="417"/>
      <c r="Y232" s="417"/>
      <c r="Z232" s="417"/>
      <c r="AA232" s="417"/>
      <c r="AB232" s="417"/>
      <c r="AC232" s="417"/>
      <c r="AD232" s="417"/>
      <c r="AE232" s="417"/>
      <c r="AF232" s="417"/>
      <c r="AG232" s="417"/>
      <c r="AH232" s="40"/>
      <c r="AI232" s="40"/>
      <c r="AJ232" s="40"/>
      <c r="AK232" s="40"/>
      <c r="AL232" s="40"/>
      <c r="AM232" s="40"/>
      <c r="AN232" s="40"/>
      <c r="AO232" s="40"/>
      <c r="AP232" s="40"/>
      <c r="AQ232" s="40"/>
      <c r="AR232" s="40"/>
      <c r="AS232" s="40"/>
      <c r="AT232" s="40"/>
    </row>
    <row r="233" spans="1:46" ht="15.6" hidden="1" outlineLevel="1">
      <c r="A233" s="474"/>
      <c r="B233" s="498"/>
      <c r="C233" s="502" t="str">
        <f>IF('Outstanding Oblig.'!E44&lt;&gt;FALSE,'Outstanding Oblig.'!E44,0)</f>
        <v xml:space="preserve"> </v>
      </c>
      <c r="D233" s="504" t="str">
        <f>IF(MID(E195,5,1)="4",MID(Input!E195,4,8)&amp;" verify travel dates",MID(Input!E195,4,8))</f>
        <v/>
      </c>
      <c r="E233" s="505" t="str">
        <f t="shared" si="5"/>
        <v xml:space="preserve"> </v>
      </c>
      <c r="F233" s="484" t="s">
        <v>11</v>
      </c>
      <c r="J233" s="417"/>
      <c r="P233" s="417"/>
      <c r="Q233" s="417"/>
      <c r="R233" s="417"/>
      <c r="S233" s="417"/>
      <c r="T233" s="417"/>
      <c r="U233" s="417"/>
      <c r="V233" s="417"/>
      <c r="W233" s="417"/>
      <c r="X233" s="417"/>
      <c r="Y233" s="417"/>
      <c r="Z233" s="417"/>
      <c r="AA233" s="417"/>
      <c r="AB233" s="417"/>
      <c r="AC233" s="417"/>
      <c r="AD233" s="417"/>
      <c r="AE233" s="417"/>
      <c r="AF233" s="417"/>
      <c r="AG233" s="417"/>
      <c r="AH233" s="40"/>
      <c r="AI233" s="40"/>
      <c r="AJ233" s="40"/>
      <c r="AK233" s="40"/>
      <c r="AL233" s="40"/>
      <c r="AM233" s="40"/>
      <c r="AN233" s="40"/>
      <c r="AO233" s="40"/>
      <c r="AP233" s="40"/>
      <c r="AQ233" s="40"/>
      <c r="AR233" s="40"/>
      <c r="AS233" s="40"/>
      <c r="AT233" s="40"/>
    </row>
    <row r="234" spans="1:46" ht="15.6" hidden="1" outlineLevel="1">
      <c r="A234" s="474"/>
      <c r="B234" s="498"/>
      <c r="C234" s="502" t="str">
        <f>IF('Outstanding Oblig.'!E45&lt;&gt;FALSE,'Outstanding Oblig.'!E45,0)</f>
        <v xml:space="preserve"> </v>
      </c>
      <c r="D234" s="504" t="str">
        <f>IF(MID(E196,5,1)="4",MID(Input!E196,4,8)&amp;" verify travel dates",MID(Input!E196,4,8))</f>
        <v/>
      </c>
      <c r="E234" s="505" t="str">
        <f t="shared" si="5"/>
        <v xml:space="preserve"> </v>
      </c>
      <c r="F234" s="484" t="s">
        <v>11</v>
      </c>
      <c r="J234" s="417"/>
      <c r="P234" s="417"/>
      <c r="Q234" s="417"/>
      <c r="R234" s="417"/>
      <c r="S234" s="417"/>
      <c r="T234" s="417"/>
      <c r="U234" s="417"/>
      <c r="V234" s="417"/>
      <c r="W234" s="417"/>
      <c r="X234" s="417"/>
      <c r="Y234" s="417"/>
      <c r="Z234" s="417"/>
      <c r="AA234" s="417"/>
      <c r="AB234" s="417"/>
      <c r="AC234" s="417"/>
      <c r="AD234" s="417"/>
      <c r="AE234" s="417"/>
      <c r="AF234" s="417"/>
      <c r="AG234" s="417"/>
      <c r="AH234" s="40"/>
      <c r="AI234" s="40"/>
      <c r="AJ234" s="40"/>
      <c r="AK234" s="40"/>
      <c r="AL234" s="40"/>
      <c r="AM234" s="40"/>
      <c r="AN234" s="40"/>
      <c r="AO234" s="40"/>
      <c r="AP234" s="40"/>
      <c r="AQ234" s="40"/>
      <c r="AR234" s="40"/>
      <c r="AS234" s="40"/>
      <c r="AT234" s="40"/>
    </row>
    <row r="235" spans="1:46" ht="15.6" hidden="1" outlineLevel="1">
      <c r="A235" s="474"/>
      <c r="B235" s="498"/>
      <c r="C235" s="502" t="str">
        <f>IF('Outstanding Oblig.'!E46&lt;&gt;FALSE,'Outstanding Oblig.'!E46,0)</f>
        <v xml:space="preserve"> </v>
      </c>
      <c r="D235" s="504" t="str">
        <f>IF(MID(E197,5,1)="4",MID(Input!E197,4,8)&amp;" verify travel dates",MID(Input!E197,4,8))</f>
        <v/>
      </c>
      <c r="E235" s="505" t="str">
        <f t="shared" si="5"/>
        <v xml:space="preserve"> </v>
      </c>
      <c r="F235" s="484" t="s">
        <v>11</v>
      </c>
      <c r="J235" s="417"/>
      <c r="P235" s="417"/>
      <c r="Q235" s="417"/>
      <c r="R235" s="417"/>
      <c r="S235" s="417"/>
      <c r="T235" s="417"/>
      <c r="U235" s="417"/>
      <c r="V235" s="417"/>
      <c r="W235" s="417"/>
      <c r="X235" s="417"/>
      <c r="Y235" s="417"/>
      <c r="Z235" s="417"/>
      <c r="AA235" s="417"/>
      <c r="AB235" s="417"/>
      <c r="AC235" s="417"/>
      <c r="AD235" s="417"/>
      <c r="AE235" s="417"/>
      <c r="AF235" s="417"/>
      <c r="AG235" s="417"/>
      <c r="AH235" s="40"/>
      <c r="AI235" s="40"/>
      <c r="AJ235" s="40"/>
      <c r="AK235" s="40"/>
      <c r="AL235" s="40"/>
      <c r="AM235" s="40"/>
      <c r="AN235" s="40"/>
      <c r="AO235" s="40"/>
      <c r="AP235" s="40"/>
      <c r="AQ235" s="40"/>
      <c r="AR235" s="40"/>
      <c r="AS235" s="40"/>
      <c r="AT235" s="40"/>
    </row>
    <row r="236" spans="1:46" ht="15.6" hidden="1" outlineLevel="1">
      <c r="A236" s="474"/>
      <c r="B236" s="498"/>
      <c r="C236" s="502" t="str">
        <f>IF('Outstanding Oblig.'!E47&lt;&gt;FALSE,'Outstanding Oblig.'!E47,0)</f>
        <v xml:space="preserve"> </v>
      </c>
      <c r="D236" s="504" t="str">
        <f>IF(MID(E198,5,1)="4",MID(Input!E198,4,8)&amp;" verify travel dates",MID(Input!E198,4,8))</f>
        <v/>
      </c>
      <c r="E236" s="505" t="str">
        <f t="shared" si="5"/>
        <v xml:space="preserve"> </v>
      </c>
      <c r="F236" s="484" t="s">
        <v>11</v>
      </c>
      <c r="J236" s="417"/>
      <c r="P236" s="417"/>
      <c r="Q236" s="417"/>
      <c r="R236" s="417"/>
      <c r="S236" s="417"/>
      <c r="T236" s="417"/>
      <c r="U236" s="417"/>
      <c r="V236" s="417"/>
      <c r="W236" s="417"/>
      <c r="X236" s="417"/>
      <c r="Y236" s="417"/>
      <c r="Z236" s="417"/>
      <c r="AA236" s="417"/>
      <c r="AB236" s="417"/>
      <c r="AC236" s="417"/>
      <c r="AD236" s="417"/>
      <c r="AE236" s="417"/>
      <c r="AF236" s="417"/>
      <c r="AG236" s="417"/>
      <c r="AH236" s="40"/>
      <c r="AI236" s="40"/>
      <c r="AJ236" s="40"/>
      <c r="AK236" s="40"/>
      <c r="AL236" s="40"/>
      <c r="AM236" s="40"/>
      <c r="AN236" s="40"/>
      <c r="AO236" s="40"/>
      <c r="AP236" s="40"/>
      <c r="AQ236" s="40"/>
      <c r="AR236" s="40"/>
      <c r="AS236" s="40"/>
      <c r="AT236" s="40"/>
    </row>
    <row r="237" spans="1:46" ht="15.6" hidden="1" outlineLevel="1">
      <c r="A237" s="474"/>
      <c r="B237" s="498"/>
      <c r="C237" s="502" t="str">
        <f>IF('Outstanding Oblig.'!E48&lt;&gt;FALSE,'Outstanding Oblig.'!E48,0)</f>
        <v xml:space="preserve"> </v>
      </c>
      <c r="D237" s="504" t="str">
        <f>IF(MID(E199,5,1)="4",MID(Input!E199,4,8)&amp;" verify travel dates",MID(Input!E199,4,8))</f>
        <v/>
      </c>
      <c r="E237" s="505" t="str">
        <f t="shared" si="5"/>
        <v xml:space="preserve"> </v>
      </c>
      <c r="F237" s="484" t="s">
        <v>11</v>
      </c>
      <c r="J237" s="417"/>
      <c r="P237" s="417"/>
      <c r="Q237" s="417"/>
      <c r="R237" s="417"/>
      <c r="S237" s="417"/>
      <c r="T237" s="417"/>
      <c r="U237" s="417"/>
      <c r="V237" s="417"/>
      <c r="W237" s="417"/>
      <c r="X237" s="417"/>
      <c r="Y237" s="417"/>
      <c r="Z237" s="417"/>
      <c r="AA237" s="417"/>
      <c r="AB237" s="417"/>
      <c r="AC237" s="417"/>
      <c r="AD237" s="417"/>
      <c r="AE237" s="417"/>
      <c r="AF237" s="417"/>
      <c r="AG237" s="417"/>
      <c r="AH237" s="40"/>
      <c r="AI237" s="40"/>
      <c r="AJ237" s="40"/>
      <c r="AK237" s="40"/>
      <c r="AL237" s="40"/>
      <c r="AM237" s="40"/>
      <c r="AN237" s="40"/>
      <c r="AO237" s="40"/>
      <c r="AP237" s="40"/>
      <c r="AQ237" s="40"/>
      <c r="AR237" s="40"/>
      <c r="AS237" s="40"/>
      <c r="AT237" s="40"/>
    </row>
    <row r="238" spans="1:46" ht="15.6" hidden="1" outlineLevel="1">
      <c r="A238" s="474"/>
      <c r="B238" s="498"/>
      <c r="C238" s="502" t="str">
        <f>IF('Outstanding Oblig.'!E49&lt;&gt;FALSE,'Outstanding Oblig.'!E49,0)</f>
        <v xml:space="preserve"> </v>
      </c>
      <c r="D238" s="504" t="str">
        <f>IF(MID(E200,5,1)="4",MID(Input!E200,4,8)&amp;" verify travel dates",MID(Input!E200,4,8))</f>
        <v/>
      </c>
      <c r="E238" s="505" t="str">
        <f t="shared" si="5"/>
        <v xml:space="preserve"> </v>
      </c>
      <c r="F238" s="484" t="s">
        <v>11</v>
      </c>
      <c r="J238" s="417"/>
      <c r="P238" s="417"/>
      <c r="Q238" s="417"/>
      <c r="R238" s="417"/>
      <c r="S238" s="417"/>
      <c r="T238" s="417"/>
      <c r="U238" s="417"/>
      <c r="V238" s="417"/>
      <c r="W238" s="417"/>
      <c r="X238" s="417"/>
      <c r="Y238" s="417"/>
      <c r="Z238" s="417"/>
      <c r="AA238" s="417"/>
      <c r="AB238" s="417"/>
      <c r="AC238" s="417"/>
      <c r="AD238" s="417"/>
      <c r="AE238" s="417"/>
      <c r="AF238" s="417"/>
      <c r="AG238" s="417"/>
      <c r="AH238" s="40"/>
      <c r="AI238" s="40"/>
      <c r="AJ238" s="40"/>
      <c r="AK238" s="40"/>
      <c r="AL238" s="40"/>
      <c r="AM238" s="40"/>
      <c r="AN238" s="40"/>
      <c r="AO238" s="40"/>
      <c r="AP238" s="40"/>
      <c r="AQ238" s="40"/>
      <c r="AR238" s="40"/>
      <c r="AS238" s="40"/>
      <c r="AT238" s="40"/>
    </row>
    <row r="239" spans="1:46" ht="16.2" hidden="1" outlineLevel="1" thickBot="1">
      <c r="A239" s="474"/>
      <c r="B239" s="498"/>
      <c r="C239" s="506" t="str">
        <f>IF('Outstanding Oblig.'!E50&lt;&gt;FALSE,'Outstanding Oblig.'!E50,0)</f>
        <v xml:space="preserve"> </v>
      </c>
      <c r="D239" s="507" t="str">
        <f>IF(MID(E201,5,1)="4",MID(Input!E201,4,8)&amp;" verify travel dates",MID(Input!E201,4,8))</f>
        <v/>
      </c>
      <c r="E239" s="505" t="str">
        <f t="shared" si="5"/>
        <v xml:space="preserve"> </v>
      </c>
      <c r="F239" s="484" t="s">
        <v>11</v>
      </c>
      <c r="J239" s="417"/>
      <c r="P239" s="417"/>
      <c r="Q239" s="417"/>
      <c r="R239" s="417"/>
      <c r="S239" s="417"/>
      <c r="T239" s="417"/>
      <c r="U239" s="417"/>
      <c r="V239" s="417"/>
      <c r="W239" s="417"/>
      <c r="X239" s="417"/>
      <c r="Y239" s="417"/>
      <c r="Z239" s="417"/>
      <c r="AA239" s="417"/>
      <c r="AB239" s="417"/>
      <c r="AC239" s="417"/>
      <c r="AD239" s="417"/>
      <c r="AE239" s="417"/>
      <c r="AF239" s="417"/>
      <c r="AG239" s="417"/>
      <c r="AH239" s="40"/>
      <c r="AI239" s="40"/>
      <c r="AJ239" s="40"/>
      <c r="AK239" s="40"/>
      <c r="AL239" s="40"/>
      <c r="AM239" s="40"/>
      <c r="AN239" s="40"/>
      <c r="AO239" s="40"/>
      <c r="AP239" s="40"/>
      <c r="AQ239" s="40"/>
      <c r="AR239" s="40"/>
      <c r="AS239" s="40"/>
      <c r="AT239" s="40"/>
    </row>
    <row r="240" spans="1:46" ht="16.2" hidden="1" outlineLevel="1" thickBot="1">
      <c r="A240" s="474"/>
      <c r="B240" s="498"/>
      <c r="C240" s="508"/>
      <c r="D240" s="508"/>
      <c r="E240" s="508"/>
      <c r="F240" s="484" t="s">
        <v>11</v>
      </c>
      <c r="P240" s="417"/>
      <c r="Q240" s="417"/>
      <c r="R240" s="417"/>
      <c r="S240" s="417"/>
      <c r="T240" s="417"/>
      <c r="U240" s="417"/>
      <c r="V240" s="417"/>
      <c r="W240" s="417"/>
      <c r="X240" s="417"/>
      <c r="Y240" s="417"/>
      <c r="Z240" s="417"/>
      <c r="AA240" s="417"/>
      <c r="AB240" s="417"/>
      <c r="AC240" s="417"/>
      <c r="AD240" s="417"/>
      <c r="AE240" s="417"/>
      <c r="AF240" s="417"/>
      <c r="AG240" s="417"/>
      <c r="AH240" s="40"/>
      <c r="AI240" s="40"/>
      <c r="AJ240" s="40"/>
      <c r="AK240" s="40"/>
      <c r="AL240" s="40"/>
      <c r="AM240" s="40"/>
      <c r="AN240" s="40"/>
      <c r="AO240" s="40"/>
      <c r="AP240" s="40"/>
      <c r="AQ240" s="40"/>
      <c r="AR240" s="40"/>
      <c r="AS240" s="40"/>
      <c r="AT240" s="40"/>
    </row>
    <row r="241" spans="1:46" ht="16.2" hidden="1" outlineLevel="1" thickBot="1">
      <c r="A241" s="474"/>
      <c r="B241" s="498"/>
      <c r="C241" s="508"/>
      <c r="D241" s="509" t="s">
        <v>124</v>
      </c>
      <c r="E241" s="510">
        <v>0</v>
      </c>
      <c r="F241" s="484" t="s">
        <v>11</v>
      </c>
      <c r="P241" s="417"/>
      <c r="Q241" s="417"/>
      <c r="R241" s="417"/>
      <c r="S241" s="417"/>
      <c r="T241" s="417"/>
      <c r="U241" s="417"/>
      <c r="V241" s="417"/>
      <c r="W241" s="417"/>
      <c r="X241" s="417"/>
      <c r="Y241" s="417"/>
      <c r="Z241" s="417"/>
      <c r="AA241" s="417"/>
      <c r="AB241" s="417"/>
      <c r="AC241" s="417"/>
      <c r="AD241" s="417"/>
      <c r="AE241" s="417"/>
      <c r="AF241" s="417"/>
      <c r="AG241" s="417"/>
      <c r="AH241" s="40"/>
      <c r="AI241" s="40"/>
      <c r="AJ241" s="40"/>
      <c r="AK241" s="40"/>
      <c r="AL241" s="40"/>
      <c r="AM241" s="40"/>
      <c r="AN241" s="40"/>
      <c r="AO241" s="40"/>
      <c r="AP241" s="40"/>
      <c r="AQ241" s="40"/>
      <c r="AR241" s="40"/>
      <c r="AS241" s="40"/>
      <c r="AT241" s="40"/>
    </row>
    <row r="242" spans="1:46" ht="16.2" hidden="1" outlineLevel="1" thickBot="1">
      <c r="A242" s="474"/>
      <c r="B242" s="498"/>
      <c r="C242" s="508"/>
      <c r="D242" s="508"/>
      <c r="E242" s="508"/>
      <c r="F242" s="484" t="s">
        <v>11</v>
      </c>
      <c r="P242" s="417"/>
      <c r="Q242" s="417"/>
      <c r="R242" s="417"/>
      <c r="S242" s="417"/>
      <c r="T242" s="417"/>
      <c r="U242" s="417"/>
      <c r="V242" s="417"/>
      <c r="W242" s="417"/>
      <c r="X242" s="417"/>
      <c r="Y242" s="417"/>
      <c r="Z242" s="417"/>
      <c r="AA242" s="417"/>
      <c r="AB242" s="417"/>
      <c r="AC242" s="417"/>
      <c r="AD242" s="417"/>
      <c r="AE242" s="417"/>
      <c r="AF242" s="417"/>
      <c r="AG242" s="417"/>
      <c r="AH242" s="40"/>
      <c r="AI242" s="40"/>
      <c r="AJ242" s="40"/>
      <c r="AK242" s="40"/>
      <c r="AL242" s="40"/>
      <c r="AM242" s="40"/>
      <c r="AN242" s="40"/>
      <c r="AO242" s="40"/>
      <c r="AP242" s="40"/>
      <c r="AQ242" s="40"/>
      <c r="AR242" s="40"/>
      <c r="AS242" s="40"/>
      <c r="AT242" s="40"/>
    </row>
    <row r="243" spans="1:46" ht="14.1" hidden="1" customHeight="1" outlineLevel="1">
      <c r="B243" s="466"/>
      <c r="C243" s="420">
        <f>SUM(C212:C239)</f>
        <v>0</v>
      </c>
      <c r="D243" s="511" t="s">
        <v>125</v>
      </c>
      <c r="E243" s="512"/>
      <c r="F243" s="484" t="s">
        <v>11</v>
      </c>
      <c r="P243" s="417"/>
      <c r="Q243" s="417"/>
      <c r="R243" s="417"/>
      <c r="S243" s="417"/>
      <c r="T243" s="417"/>
      <c r="U243" s="417"/>
      <c r="V243" s="417"/>
      <c r="W243" s="417"/>
      <c r="X243" s="417"/>
      <c r="Y243" s="417"/>
      <c r="Z243" s="417"/>
      <c r="AA243" s="417"/>
      <c r="AB243" s="417"/>
      <c r="AC243" s="417"/>
      <c r="AD243" s="417"/>
      <c r="AE243" s="417"/>
      <c r="AF243" s="417"/>
      <c r="AG243" s="417"/>
      <c r="AH243" s="40"/>
      <c r="AI243" s="40"/>
      <c r="AJ243" s="40"/>
      <c r="AK243" s="40"/>
      <c r="AL243" s="40"/>
      <c r="AM243" s="40"/>
      <c r="AN243" s="40"/>
      <c r="AO243" s="40"/>
      <c r="AP243" s="40"/>
      <c r="AQ243" s="40"/>
      <c r="AR243" s="40"/>
      <c r="AS243" s="40"/>
      <c r="AT243" s="40"/>
    </row>
    <row r="244" spans="1:46" ht="14.1" hidden="1" customHeight="1" outlineLevel="1" thickBot="1">
      <c r="B244" s="466"/>
      <c r="C244" s="471">
        <f>C243-C245</f>
        <v>0</v>
      </c>
      <c r="D244" s="513" t="s">
        <v>126</v>
      </c>
      <c r="E244" s="514"/>
      <c r="F244" s="484" t="s">
        <v>11</v>
      </c>
      <c r="P244" s="417"/>
      <c r="Q244" s="417"/>
      <c r="R244" s="417"/>
      <c r="S244" s="417"/>
      <c r="T244" s="417"/>
      <c r="U244" s="417"/>
      <c r="V244" s="417"/>
      <c r="W244" s="417"/>
      <c r="X244" s="417"/>
      <c r="Y244" s="417"/>
      <c r="Z244" s="417"/>
      <c r="AA244" s="417"/>
      <c r="AB244" s="417"/>
      <c r="AC244" s="417"/>
      <c r="AD244" s="417"/>
      <c r="AE244" s="417"/>
      <c r="AF244" s="417"/>
      <c r="AG244" s="417"/>
      <c r="AH244" s="40"/>
      <c r="AI244" s="40"/>
      <c r="AJ244" s="40"/>
      <c r="AK244" s="40"/>
      <c r="AL244" s="40"/>
      <c r="AM244" s="40"/>
      <c r="AN244" s="40"/>
      <c r="AO244" s="40"/>
      <c r="AP244" s="40"/>
      <c r="AQ244" s="40"/>
      <c r="AR244" s="40"/>
      <c r="AS244" s="40"/>
      <c r="AT244" s="40"/>
    </row>
    <row r="245" spans="1:46" ht="14.1" hidden="1" customHeight="1" outlineLevel="1" thickBot="1">
      <c r="B245" s="466"/>
      <c r="C245" s="515">
        <f>'Outstanding Oblig.'!F51</f>
        <v>0</v>
      </c>
      <c r="D245" s="516" t="s">
        <v>127</v>
      </c>
      <c r="E245" s="517"/>
      <c r="F245" s="484" t="s">
        <v>11</v>
      </c>
      <c r="P245" s="417"/>
      <c r="Q245" s="417"/>
      <c r="R245" s="417"/>
      <c r="S245" s="417"/>
      <c r="T245" s="417"/>
      <c r="U245" s="417"/>
      <c r="V245" s="417"/>
      <c r="W245" s="417"/>
      <c r="X245" s="417"/>
      <c r="Y245" s="417"/>
      <c r="Z245" s="417"/>
      <c r="AA245" s="417"/>
      <c r="AB245" s="417"/>
      <c r="AC245" s="417"/>
      <c r="AD245" s="417"/>
      <c r="AE245" s="417"/>
      <c r="AF245" s="417"/>
      <c r="AG245" s="417"/>
      <c r="AH245" s="40"/>
      <c r="AI245" s="40"/>
      <c r="AJ245" s="40"/>
      <c r="AK245" s="40"/>
      <c r="AL245" s="40"/>
      <c r="AM245" s="40"/>
      <c r="AN245" s="40"/>
      <c r="AO245" s="40"/>
      <c r="AP245" s="40"/>
      <c r="AQ245" s="40"/>
      <c r="AR245" s="40"/>
      <c r="AS245" s="40"/>
      <c r="AT245" s="40"/>
    </row>
    <row r="246" spans="1:46" ht="14.1" hidden="1" customHeight="1" outlineLevel="1" thickBot="1">
      <c r="B246" s="466"/>
      <c r="C246" s="518"/>
      <c r="D246" s="519">
        <f>E241</f>
        <v>0</v>
      </c>
      <c r="E246" s="520" t="s">
        <v>128</v>
      </c>
      <c r="F246" s="484" t="s">
        <v>11</v>
      </c>
      <c r="P246" s="417"/>
      <c r="Q246" s="417"/>
      <c r="R246" s="417"/>
      <c r="S246" s="417"/>
      <c r="T246" s="417"/>
      <c r="U246" s="417"/>
      <c r="V246" s="417"/>
      <c r="W246" s="417"/>
      <c r="X246" s="417"/>
      <c r="Y246" s="417"/>
      <c r="Z246" s="417"/>
      <c r="AA246" s="417"/>
      <c r="AB246" s="417"/>
      <c r="AC246" s="417"/>
      <c r="AD246" s="417"/>
      <c r="AE246" s="417"/>
      <c r="AF246" s="417"/>
      <c r="AG246" s="417"/>
      <c r="AH246" s="40"/>
      <c r="AI246" s="40"/>
      <c r="AJ246" s="40"/>
      <c r="AK246" s="40"/>
      <c r="AL246" s="40"/>
      <c r="AM246" s="40"/>
      <c r="AN246" s="40"/>
      <c r="AO246" s="40"/>
      <c r="AP246" s="40"/>
      <c r="AQ246" s="40"/>
      <c r="AR246" s="40"/>
      <c r="AS246" s="40"/>
      <c r="AT246" s="40"/>
    </row>
    <row r="247" spans="1:46" ht="14.1" hidden="1" customHeight="1" outlineLevel="1" thickBot="1">
      <c r="B247" s="466"/>
      <c r="C247" s="442"/>
      <c r="D247" s="521">
        <f>C245-D246</f>
        <v>0</v>
      </c>
      <c r="E247" s="522" t="s">
        <v>129</v>
      </c>
      <c r="F247" s="484" t="s">
        <v>11</v>
      </c>
      <c r="P247" s="417"/>
      <c r="Q247" s="417"/>
      <c r="R247" s="417"/>
      <c r="S247" s="417"/>
      <c r="T247" s="417"/>
      <c r="U247" s="417"/>
      <c r="V247" s="417"/>
      <c r="W247" s="417"/>
      <c r="X247" s="417"/>
      <c r="Y247" s="417"/>
      <c r="Z247" s="417"/>
      <c r="AA247" s="417"/>
      <c r="AB247" s="417"/>
      <c r="AC247" s="417"/>
      <c r="AD247" s="417"/>
      <c r="AE247" s="417"/>
      <c r="AF247" s="417"/>
      <c r="AG247" s="417"/>
      <c r="AH247" s="40"/>
      <c r="AI247" s="40"/>
      <c r="AJ247" s="40"/>
      <c r="AK247" s="40"/>
      <c r="AL247" s="40"/>
      <c r="AM247" s="40"/>
      <c r="AN247" s="40"/>
      <c r="AO247" s="40"/>
      <c r="AP247" s="40"/>
      <c r="AQ247" s="40"/>
      <c r="AR247" s="40"/>
      <c r="AS247" s="40"/>
      <c r="AT247" s="40"/>
    </row>
    <row r="248" spans="1:46" ht="14.1" hidden="1" customHeight="1" outlineLevel="1" thickBot="1">
      <c r="B248" s="466"/>
      <c r="C248" s="523">
        <f>ROUND(D247*D69,0)</f>
        <v>0</v>
      </c>
      <c r="D248" s="511" t="str">
        <f>"Indirect Costs @ "&amp;D69</f>
        <v>Indirect Costs @ 0.08</v>
      </c>
      <c r="E248" s="524"/>
      <c r="F248" s="484" t="s">
        <v>11</v>
      </c>
      <c r="P248" s="417"/>
      <c r="Q248" s="417"/>
      <c r="R248" s="417"/>
      <c r="S248" s="417"/>
      <c r="T248" s="417"/>
      <c r="U248" s="417"/>
      <c r="V248" s="417"/>
      <c r="W248" s="417"/>
      <c r="X248" s="417"/>
      <c r="Y248" s="417"/>
      <c r="Z248" s="417"/>
      <c r="AA248" s="417"/>
      <c r="AB248" s="417"/>
      <c r="AC248" s="417"/>
      <c r="AD248" s="417"/>
      <c r="AE248" s="417"/>
      <c r="AF248" s="417"/>
      <c r="AG248" s="417"/>
      <c r="AH248" s="40"/>
      <c r="AI248" s="40"/>
      <c r="AJ248" s="40"/>
      <c r="AK248" s="40"/>
      <c r="AL248" s="40"/>
      <c r="AM248" s="40"/>
      <c r="AN248" s="40"/>
      <c r="AO248" s="40"/>
      <c r="AP248" s="40"/>
      <c r="AQ248" s="40"/>
      <c r="AR248" s="40"/>
      <c r="AS248" s="40"/>
      <c r="AT248" s="40"/>
    </row>
    <row r="249" spans="1:46" ht="14.1" hidden="1" customHeight="1" outlineLevel="1" thickBot="1">
      <c r="B249" s="466"/>
      <c r="C249" s="525">
        <f>C245+C248</f>
        <v>0</v>
      </c>
      <c r="D249" s="516" t="s">
        <v>130</v>
      </c>
      <c r="E249" s="517"/>
      <c r="F249" s="484" t="s">
        <v>11</v>
      </c>
      <c r="P249" s="417"/>
      <c r="Q249" s="417"/>
      <c r="R249" s="417"/>
      <c r="S249" s="417"/>
      <c r="T249" s="417"/>
      <c r="U249" s="417"/>
      <c r="V249" s="417"/>
      <c r="W249" s="417"/>
      <c r="X249" s="417"/>
      <c r="Y249" s="417"/>
      <c r="Z249" s="417"/>
      <c r="AA249" s="417"/>
      <c r="AB249" s="417"/>
      <c r="AC249" s="417"/>
      <c r="AD249" s="417"/>
      <c r="AE249" s="417"/>
      <c r="AF249" s="417"/>
      <c r="AG249" s="417"/>
      <c r="AH249" s="40"/>
      <c r="AI249" s="40"/>
      <c r="AJ249" s="40"/>
      <c r="AK249" s="40"/>
      <c r="AL249" s="40"/>
      <c r="AM249" s="40"/>
      <c r="AN249" s="40"/>
      <c r="AO249" s="40"/>
      <c r="AP249" s="40"/>
      <c r="AQ249" s="40"/>
      <c r="AR249" s="40"/>
      <c r="AS249" s="40"/>
      <c r="AT249" s="40"/>
    </row>
    <row r="250" spans="1:46" ht="16.2" hidden="1" outlineLevel="1" thickBot="1">
      <c r="B250" s="466"/>
      <c r="C250" s="98"/>
      <c r="D250" s="453"/>
      <c r="E250" s="441"/>
      <c r="F250" s="484" t="s">
        <v>11</v>
      </c>
      <c r="P250" s="417"/>
      <c r="Q250" s="417"/>
      <c r="R250" s="417"/>
      <c r="S250" s="417"/>
      <c r="T250" s="417"/>
      <c r="U250" s="417"/>
      <c r="V250" s="417"/>
      <c r="W250" s="417"/>
      <c r="X250" s="417"/>
      <c r="Y250" s="417"/>
      <c r="Z250" s="417"/>
      <c r="AA250" s="417"/>
      <c r="AB250" s="417"/>
      <c r="AC250" s="417"/>
      <c r="AD250" s="417"/>
      <c r="AE250" s="417"/>
      <c r="AF250" s="417"/>
      <c r="AG250" s="417"/>
      <c r="AH250" s="40"/>
      <c r="AI250" s="40"/>
      <c r="AJ250" s="40"/>
      <c r="AK250" s="40"/>
      <c r="AL250" s="40"/>
      <c r="AM250" s="40"/>
      <c r="AN250" s="40"/>
      <c r="AO250" s="40"/>
      <c r="AP250" s="40"/>
      <c r="AQ250" s="40"/>
      <c r="AR250" s="40"/>
      <c r="AS250" s="40"/>
      <c r="AT250" s="40"/>
    </row>
    <row r="251" spans="1:46" ht="18.600000000000001" hidden="1" outlineLevel="1" thickBot="1">
      <c r="B251" s="466"/>
      <c r="C251" s="526">
        <v>0</v>
      </c>
      <c r="D251" s="527" t="s">
        <v>131</v>
      </c>
      <c r="E251" s="528"/>
      <c r="F251" s="484" t="s">
        <v>11</v>
      </c>
      <c r="P251" s="417"/>
      <c r="Q251" s="417"/>
      <c r="R251" s="417"/>
      <c r="S251" s="417"/>
      <c r="T251" s="417"/>
      <c r="U251" s="417"/>
      <c r="V251" s="417"/>
      <c r="W251" s="417"/>
      <c r="X251" s="417"/>
      <c r="Y251" s="417"/>
      <c r="Z251" s="417"/>
      <c r="AA251" s="417"/>
      <c r="AB251" s="417"/>
      <c r="AC251" s="417"/>
      <c r="AD251" s="417"/>
      <c r="AE251" s="417"/>
      <c r="AF251" s="417"/>
      <c r="AG251" s="417"/>
      <c r="AH251" s="40"/>
      <c r="AI251" s="40"/>
      <c r="AJ251" s="40"/>
      <c r="AK251" s="40"/>
      <c r="AL251" s="40"/>
      <c r="AM251" s="40"/>
      <c r="AN251" s="40"/>
      <c r="AO251" s="40"/>
      <c r="AP251" s="40"/>
      <c r="AQ251" s="40"/>
      <c r="AR251" s="40"/>
      <c r="AS251" s="40"/>
      <c r="AT251" s="40"/>
    </row>
    <row r="252" spans="1:46" ht="18.600000000000001" hidden="1" outlineLevel="1" thickBot="1">
      <c r="B252" s="466"/>
      <c r="C252" s="98"/>
      <c r="D252" s="529">
        <f>Reconciliation!E40</f>
        <v>26811.279999999999</v>
      </c>
      <c r="E252" s="530" t="s">
        <v>132</v>
      </c>
      <c r="F252" s="484" t="s">
        <v>11</v>
      </c>
      <c r="P252" s="417"/>
      <c r="Q252" s="417"/>
      <c r="R252" s="417"/>
      <c r="S252" s="417"/>
      <c r="T252" s="417"/>
      <c r="U252" s="417"/>
      <c r="V252" s="417"/>
      <c r="W252" s="417"/>
      <c r="X252" s="417"/>
      <c r="Y252" s="417"/>
      <c r="Z252" s="417"/>
      <c r="AA252" s="417"/>
      <c r="AB252" s="417"/>
      <c r="AC252" s="417"/>
      <c r="AD252" s="417"/>
      <c r="AE252" s="417"/>
      <c r="AF252" s="417"/>
      <c r="AG252" s="417"/>
      <c r="AH252" s="40"/>
      <c r="AI252" s="40"/>
      <c r="AJ252" s="40"/>
      <c r="AK252" s="40"/>
      <c r="AL252" s="40"/>
      <c r="AM252" s="40"/>
      <c r="AN252" s="40"/>
      <c r="AO252" s="40"/>
      <c r="AP252" s="40"/>
      <c r="AQ252" s="40"/>
      <c r="AR252" s="40"/>
      <c r="AS252" s="40"/>
      <c r="AT252" s="40"/>
    </row>
    <row r="253" spans="1:46" ht="16.2" hidden="1" outlineLevel="1" thickBot="1">
      <c r="B253" s="466"/>
      <c r="C253" s="441"/>
      <c r="D253" s="441"/>
      <c r="E253" s="441"/>
      <c r="F253" s="484" t="s">
        <v>11</v>
      </c>
      <c r="P253" s="417"/>
      <c r="Q253" s="417"/>
      <c r="R253" s="417"/>
      <c r="S253" s="417"/>
      <c r="T253" s="417"/>
      <c r="U253" s="417"/>
      <c r="V253" s="417"/>
      <c r="W253" s="417"/>
      <c r="X253" s="417"/>
      <c r="Y253" s="417"/>
      <c r="Z253" s="417"/>
      <c r="AA253" s="417"/>
      <c r="AB253" s="417"/>
      <c r="AC253" s="417"/>
      <c r="AD253" s="417"/>
      <c r="AE253" s="417"/>
      <c r="AF253" s="417"/>
      <c r="AG253" s="417"/>
      <c r="AH253" s="40"/>
      <c r="AI253" s="40"/>
      <c r="AJ253" s="40"/>
      <c r="AK253" s="40"/>
      <c r="AL253" s="40"/>
      <c r="AM253" s="40"/>
      <c r="AN253" s="40"/>
      <c r="AO253" s="40"/>
      <c r="AP253" s="40"/>
      <c r="AQ253" s="40"/>
      <c r="AR253" s="40"/>
      <c r="AS253" s="40"/>
      <c r="AT253" s="40"/>
    </row>
    <row r="254" spans="1:46" hidden="1" outlineLevel="1">
      <c r="B254" s="466"/>
      <c r="C254" s="531" t="s">
        <v>133</v>
      </c>
      <c r="D254" s="532"/>
      <c r="E254" s="533"/>
      <c r="F254" s="484" t="s">
        <v>11</v>
      </c>
      <c r="P254" s="417"/>
      <c r="Q254" s="417"/>
      <c r="R254" s="417"/>
      <c r="S254" s="417"/>
      <c r="T254" s="417"/>
      <c r="U254" s="417"/>
      <c r="V254" s="417"/>
      <c r="W254" s="417"/>
      <c r="X254" s="417"/>
      <c r="Y254" s="417"/>
      <c r="Z254" s="417"/>
      <c r="AA254" s="417"/>
      <c r="AB254" s="417"/>
      <c r="AC254" s="417"/>
      <c r="AD254" s="417"/>
      <c r="AE254" s="417"/>
      <c r="AF254" s="417"/>
      <c r="AG254" s="417"/>
      <c r="AH254" s="40"/>
      <c r="AI254" s="40"/>
      <c r="AJ254" s="40"/>
      <c r="AK254" s="40"/>
      <c r="AL254" s="40"/>
      <c r="AM254" s="40"/>
      <c r="AN254" s="40"/>
      <c r="AO254" s="40"/>
      <c r="AP254" s="40"/>
      <c r="AQ254" s="40"/>
      <c r="AR254" s="40"/>
      <c r="AS254" s="40"/>
      <c r="AT254" s="40"/>
    </row>
    <row r="255" spans="1:46" ht="18.600000000000001" hidden="1" outlineLevel="1" thickBot="1">
      <c r="B255" s="466"/>
      <c r="C255" s="534" t="s">
        <v>134</v>
      </c>
      <c r="D255" s="535"/>
      <c r="E255" s="536"/>
      <c r="F255" s="484" t="s">
        <v>11</v>
      </c>
      <c r="P255" s="417"/>
      <c r="Q255" s="417"/>
      <c r="R255" s="417"/>
      <c r="S255" s="417"/>
      <c r="T255" s="417"/>
      <c r="U255" s="417"/>
      <c r="V255" s="417"/>
      <c r="W255" s="417"/>
      <c r="X255" s="417"/>
      <c r="Y255" s="417"/>
      <c r="Z255" s="417"/>
      <c r="AA255" s="417"/>
      <c r="AB255" s="417"/>
      <c r="AC255" s="417"/>
      <c r="AD255" s="417"/>
      <c r="AE255" s="417"/>
      <c r="AF255" s="417"/>
      <c r="AG255" s="417"/>
      <c r="AH255" s="40"/>
      <c r="AI255" s="40"/>
      <c r="AJ255" s="40"/>
      <c r="AK255" s="40"/>
      <c r="AL255" s="40"/>
      <c r="AM255" s="40"/>
      <c r="AN255" s="40"/>
      <c r="AO255" s="40"/>
      <c r="AP255" s="40"/>
      <c r="AQ255" s="40"/>
      <c r="AR255" s="40"/>
      <c r="AS255" s="40"/>
      <c r="AT255" s="40"/>
    </row>
    <row r="256" spans="1:46" ht="15" hidden="1" customHeight="1" outlineLevel="1">
      <c r="B256" s="466"/>
      <c r="C256" s="537">
        <f>'Outstanding Oblig.'!K51</f>
        <v>0</v>
      </c>
      <c r="D256" s="538" t="s">
        <v>135</v>
      </c>
      <c r="E256" s="539"/>
      <c r="F256" s="484" t="s">
        <v>11</v>
      </c>
      <c r="P256" s="417"/>
      <c r="Q256" s="417"/>
      <c r="R256" s="417"/>
      <c r="S256" s="417"/>
      <c r="T256" s="417"/>
      <c r="U256" s="417"/>
      <c r="V256" s="417"/>
      <c r="W256" s="417"/>
      <c r="X256" s="417"/>
      <c r="Y256" s="417"/>
      <c r="Z256" s="417"/>
      <c r="AA256" s="417"/>
      <c r="AB256" s="417"/>
      <c r="AC256" s="417"/>
      <c r="AD256" s="417"/>
      <c r="AE256" s="417"/>
      <c r="AF256" s="417"/>
      <c r="AG256" s="417"/>
      <c r="AH256" s="40"/>
      <c r="AI256" s="40"/>
      <c r="AJ256" s="40"/>
      <c r="AK256" s="40"/>
      <c r="AL256" s="40"/>
      <c r="AM256" s="40"/>
      <c r="AN256" s="40"/>
      <c r="AO256" s="40"/>
      <c r="AP256" s="40"/>
      <c r="AQ256" s="40"/>
      <c r="AR256" s="40"/>
      <c r="AS256" s="40"/>
      <c r="AT256" s="40"/>
    </row>
    <row r="257" spans="2:46" ht="15" hidden="1" customHeight="1" outlineLevel="1">
      <c r="B257" s="466"/>
      <c r="C257" s="540">
        <f>'Outstanding Oblig.'!L51</f>
        <v>0</v>
      </c>
      <c r="D257" s="541" t="s">
        <v>136</v>
      </c>
      <c r="E257" s="484"/>
      <c r="F257" s="484" t="s">
        <v>11</v>
      </c>
      <c r="P257" s="417"/>
      <c r="Q257" s="417"/>
      <c r="R257" s="417"/>
      <c r="S257" s="417"/>
      <c r="T257" s="417"/>
      <c r="U257" s="417"/>
      <c r="V257" s="417"/>
      <c r="W257" s="417"/>
      <c r="X257" s="417"/>
      <c r="Y257" s="417"/>
      <c r="Z257" s="417"/>
      <c r="AA257" s="417"/>
      <c r="AB257" s="417"/>
      <c r="AC257" s="417"/>
      <c r="AD257" s="417"/>
      <c r="AE257" s="417"/>
      <c r="AF257" s="417"/>
      <c r="AG257" s="417"/>
      <c r="AH257" s="40"/>
      <c r="AI257" s="40"/>
      <c r="AJ257" s="40"/>
      <c r="AK257" s="40"/>
      <c r="AL257" s="40"/>
      <c r="AM257" s="40"/>
      <c r="AN257" s="40"/>
      <c r="AO257" s="40"/>
      <c r="AP257" s="40"/>
      <c r="AQ257" s="40"/>
      <c r="AR257" s="40"/>
      <c r="AS257" s="40"/>
      <c r="AT257" s="40"/>
    </row>
    <row r="258" spans="2:46" ht="15" hidden="1" customHeight="1" outlineLevel="1">
      <c r="B258" s="466"/>
      <c r="C258" s="542">
        <f>'Outstanding Oblig.'!M51</f>
        <v>0</v>
      </c>
      <c r="D258" s="541" t="s">
        <v>137</v>
      </c>
      <c r="E258" s="484"/>
      <c r="F258" s="484" t="s">
        <v>11</v>
      </c>
      <c r="P258" s="417"/>
      <c r="Q258" s="417"/>
      <c r="R258" s="417"/>
      <c r="S258" s="417"/>
      <c r="T258" s="417"/>
      <c r="U258" s="417"/>
      <c r="V258" s="417"/>
      <c r="W258" s="417"/>
      <c r="X258" s="417"/>
      <c r="Y258" s="417"/>
      <c r="Z258" s="417"/>
      <c r="AA258" s="417"/>
      <c r="AB258" s="417"/>
      <c r="AC258" s="417"/>
      <c r="AD258" s="417"/>
      <c r="AE258" s="417"/>
      <c r="AF258" s="417"/>
      <c r="AG258" s="417"/>
      <c r="AH258" s="40"/>
      <c r="AI258" s="40"/>
      <c r="AJ258" s="40"/>
      <c r="AK258" s="40"/>
      <c r="AL258" s="40"/>
      <c r="AM258" s="40"/>
      <c r="AN258" s="40"/>
      <c r="AO258" s="40"/>
      <c r="AP258" s="40"/>
      <c r="AQ258" s="40"/>
      <c r="AR258" s="40"/>
      <c r="AS258" s="40"/>
      <c r="AT258" s="40"/>
    </row>
    <row r="259" spans="2:46" ht="15" hidden="1" customHeight="1" outlineLevel="1">
      <c r="B259" s="466"/>
      <c r="C259" s="543">
        <f>'Outstanding Oblig.'!N51-'Outstanding Oblig.'!O51</f>
        <v>0</v>
      </c>
      <c r="D259" s="541" t="s">
        <v>138</v>
      </c>
      <c r="E259" s="544"/>
      <c r="F259" s="484" t="s">
        <v>11</v>
      </c>
      <c r="P259" s="417"/>
      <c r="Q259" s="417"/>
      <c r="R259" s="417"/>
      <c r="S259" s="417"/>
      <c r="T259" s="417"/>
      <c r="U259" s="417"/>
      <c r="V259" s="417"/>
      <c r="W259" s="417"/>
      <c r="X259" s="417"/>
      <c r="Y259" s="417"/>
      <c r="Z259" s="417"/>
      <c r="AA259" s="417"/>
      <c r="AB259" s="417"/>
      <c r="AC259" s="417"/>
      <c r="AD259" s="417"/>
      <c r="AE259" s="417"/>
      <c r="AF259" s="417"/>
      <c r="AG259" s="417"/>
      <c r="AH259" s="40"/>
      <c r="AI259" s="40"/>
      <c r="AJ259" s="40"/>
      <c r="AK259" s="40"/>
      <c r="AL259" s="40"/>
      <c r="AM259" s="40"/>
      <c r="AN259" s="40"/>
      <c r="AO259" s="40"/>
      <c r="AP259" s="40"/>
      <c r="AQ259" s="40"/>
      <c r="AR259" s="40"/>
      <c r="AS259" s="40"/>
      <c r="AT259" s="40"/>
    </row>
    <row r="260" spans="2:46" ht="15" hidden="1" customHeight="1" outlineLevel="1">
      <c r="B260" s="466"/>
      <c r="C260" s="543">
        <f>'Outstanding Oblig.'!O51</f>
        <v>0</v>
      </c>
      <c r="D260" s="545" t="s">
        <v>139</v>
      </c>
      <c r="E260" s="544"/>
      <c r="F260" s="484" t="s">
        <v>11</v>
      </c>
      <c r="P260" s="417"/>
      <c r="Q260" s="417"/>
      <c r="R260" s="417"/>
      <c r="S260" s="417"/>
      <c r="T260" s="417"/>
      <c r="U260" s="417"/>
      <c r="V260" s="417"/>
      <c r="W260" s="417"/>
      <c r="X260" s="417"/>
      <c r="Y260" s="417"/>
      <c r="Z260" s="417"/>
      <c r="AA260" s="417"/>
      <c r="AB260" s="417"/>
      <c r="AC260" s="417"/>
      <c r="AD260" s="417"/>
      <c r="AE260" s="417"/>
      <c r="AF260" s="417"/>
      <c r="AG260" s="417"/>
      <c r="AH260" s="40"/>
      <c r="AI260" s="40"/>
      <c r="AJ260" s="40"/>
      <c r="AK260" s="40"/>
      <c r="AL260" s="40"/>
      <c r="AM260" s="40"/>
      <c r="AN260" s="40"/>
      <c r="AO260" s="40"/>
      <c r="AP260" s="40"/>
      <c r="AQ260" s="40"/>
      <c r="AR260" s="40"/>
      <c r="AS260" s="40"/>
      <c r="AT260" s="40"/>
    </row>
    <row r="261" spans="2:46" ht="15" hidden="1" customHeight="1" outlineLevel="1">
      <c r="B261" s="466"/>
      <c r="C261" s="543">
        <f>'Outstanding Oblig.'!P51</f>
        <v>0</v>
      </c>
      <c r="D261" s="545" t="s">
        <v>140</v>
      </c>
      <c r="E261" s="544"/>
      <c r="F261" s="484" t="s">
        <v>11</v>
      </c>
      <c r="P261" s="417"/>
      <c r="Q261" s="417"/>
      <c r="R261" s="417"/>
      <c r="S261" s="417"/>
      <c r="T261" s="417"/>
      <c r="U261" s="417"/>
      <c r="V261" s="417"/>
      <c r="W261" s="417"/>
      <c r="X261" s="417"/>
      <c r="Y261" s="417"/>
      <c r="Z261" s="417"/>
      <c r="AA261" s="417"/>
      <c r="AB261" s="417"/>
      <c r="AC261" s="417"/>
      <c r="AD261" s="417"/>
      <c r="AE261" s="417"/>
      <c r="AF261" s="417"/>
      <c r="AG261" s="417"/>
      <c r="AH261" s="40"/>
      <c r="AI261" s="40"/>
      <c r="AJ261" s="40"/>
      <c r="AK261" s="40"/>
      <c r="AL261" s="40"/>
      <c r="AM261" s="40"/>
      <c r="AN261" s="40"/>
      <c r="AO261" s="40"/>
      <c r="AP261" s="40"/>
      <c r="AQ261" s="40"/>
      <c r="AR261" s="40"/>
      <c r="AS261" s="40"/>
      <c r="AT261" s="40"/>
    </row>
    <row r="262" spans="2:46" ht="15" hidden="1" customHeight="1" outlineLevel="1">
      <c r="B262" s="466"/>
      <c r="C262" s="543">
        <f>'Outstanding Oblig.'!Q51</f>
        <v>0</v>
      </c>
      <c r="D262" s="545" t="s">
        <v>141</v>
      </c>
      <c r="E262" s="544"/>
      <c r="F262" s="484" t="s">
        <v>11</v>
      </c>
      <c r="P262" s="417"/>
      <c r="Q262" s="417"/>
      <c r="R262" s="417"/>
      <c r="S262" s="417"/>
      <c r="T262" s="417"/>
      <c r="U262" s="417"/>
      <c r="V262" s="417"/>
      <c r="W262" s="417"/>
      <c r="X262" s="417"/>
      <c r="Y262" s="417"/>
      <c r="Z262" s="417"/>
      <c r="AA262" s="417"/>
      <c r="AB262" s="417"/>
      <c r="AC262" s="417"/>
      <c r="AD262" s="417"/>
      <c r="AE262" s="417"/>
      <c r="AF262" s="417"/>
      <c r="AG262" s="417"/>
      <c r="AH262" s="40"/>
      <c r="AI262" s="40"/>
      <c r="AJ262" s="40"/>
      <c r="AK262" s="40"/>
      <c r="AL262" s="40"/>
      <c r="AM262" s="40"/>
      <c r="AN262" s="40"/>
      <c r="AO262" s="40"/>
      <c r="AP262" s="40"/>
      <c r="AQ262" s="40"/>
      <c r="AR262" s="40"/>
      <c r="AS262" s="40"/>
      <c r="AT262" s="40"/>
    </row>
    <row r="263" spans="2:46" ht="15" hidden="1" customHeight="1" outlineLevel="1">
      <c r="B263" s="466"/>
      <c r="C263" s="543">
        <f>'Outstanding Oblig.'!R51</f>
        <v>0</v>
      </c>
      <c r="D263" s="545" t="s">
        <v>142</v>
      </c>
      <c r="E263" s="544"/>
      <c r="F263" s="484" t="s">
        <v>11</v>
      </c>
      <c r="P263" s="417"/>
      <c r="Q263" s="417"/>
      <c r="R263" s="417"/>
      <c r="S263" s="417"/>
      <c r="T263" s="417"/>
      <c r="U263" s="417"/>
      <c r="V263" s="417"/>
      <c r="W263" s="417"/>
      <c r="X263" s="417"/>
      <c r="Y263" s="417"/>
      <c r="Z263" s="417"/>
      <c r="AA263" s="417"/>
      <c r="AB263" s="417"/>
      <c r="AC263" s="417"/>
      <c r="AD263" s="417"/>
      <c r="AE263" s="417"/>
      <c r="AF263" s="417"/>
      <c r="AG263" s="417"/>
      <c r="AH263" s="40"/>
      <c r="AI263" s="40"/>
      <c r="AJ263" s="40"/>
      <c r="AK263" s="40"/>
      <c r="AL263" s="40"/>
      <c r="AM263" s="40"/>
      <c r="AN263" s="40"/>
      <c r="AO263" s="40"/>
      <c r="AP263" s="40"/>
      <c r="AQ263" s="40"/>
      <c r="AR263" s="40"/>
      <c r="AS263" s="40"/>
      <c r="AT263" s="40"/>
    </row>
    <row r="264" spans="2:46" ht="15" hidden="1" customHeight="1" outlineLevel="1">
      <c r="B264" s="466"/>
      <c r="C264" s="540">
        <f>'Outstanding Oblig.'!S51</f>
        <v>0</v>
      </c>
      <c r="D264" s="541" t="s">
        <v>143</v>
      </c>
      <c r="E264" s="484"/>
      <c r="F264" s="484" t="s">
        <v>11</v>
      </c>
      <c r="P264" s="417"/>
      <c r="Q264" s="417"/>
      <c r="R264" s="417"/>
      <c r="S264" s="417"/>
      <c r="T264" s="417"/>
      <c r="U264" s="417"/>
      <c r="V264" s="417"/>
      <c r="W264" s="417"/>
      <c r="X264" s="417"/>
      <c r="Y264" s="417"/>
      <c r="Z264" s="417"/>
      <c r="AA264" s="417"/>
      <c r="AB264" s="417"/>
      <c r="AC264" s="417"/>
      <c r="AD264" s="417"/>
      <c r="AE264" s="417"/>
      <c r="AF264" s="417"/>
      <c r="AG264" s="417"/>
      <c r="AH264" s="40"/>
      <c r="AI264" s="40"/>
      <c r="AJ264" s="40"/>
      <c r="AK264" s="40"/>
      <c r="AL264" s="40"/>
      <c r="AM264" s="40"/>
      <c r="AN264" s="40"/>
      <c r="AO264" s="40"/>
      <c r="AP264" s="40"/>
      <c r="AQ264" s="40"/>
      <c r="AR264" s="40"/>
      <c r="AS264" s="40"/>
      <c r="AT264" s="40"/>
    </row>
    <row r="265" spans="2:46" ht="15" hidden="1" customHeight="1" outlineLevel="1">
      <c r="B265" s="466"/>
      <c r="C265" s="543">
        <f>'Outstanding Oblig.'!T51</f>
        <v>0</v>
      </c>
      <c r="D265" s="545" t="s">
        <v>144</v>
      </c>
      <c r="E265" s="544"/>
      <c r="F265" s="484" t="s">
        <v>11</v>
      </c>
      <c r="P265" s="417"/>
      <c r="Q265" s="417"/>
      <c r="R265" s="417"/>
      <c r="S265" s="417"/>
      <c r="T265" s="417"/>
      <c r="U265" s="417"/>
      <c r="V265" s="417"/>
      <c r="W265" s="417"/>
      <c r="X265" s="417"/>
      <c r="Y265" s="417"/>
      <c r="Z265" s="417"/>
      <c r="AA265" s="417"/>
      <c r="AB265" s="417"/>
      <c r="AC265" s="417"/>
      <c r="AD265" s="417"/>
      <c r="AE265" s="417"/>
      <c r="AF265" s="417"/>
      <c r="AG265" s="417"/>
      <c r="AH265" s="40"/>
      <c r="AI265" s="40"/>
      <c r="AJ265" s="40"/>
      <c r="AK265" s="40"/>
      <c r="AL265" s="40"/>
      <c r="AM265" s="40"/>
      <c r="AN265" s="40"/>
      <c r="AO265" s="40"/>
      <c r="AP265" s="40"/>
      <c r="AQ265" s="40"/>
      <c r="AR265" s="40"/>
      <c r="AS265" s="40"/>
      <c r="AT265" s="40"/>
    </row>
    <row r="266" spans="2:46" ht="15" hidden="1" customHeight="1" outlineLevel="1">
      <c r="B266" s="466"/>
      <c r="C266" s="543">
        <f>'Outstanding Oblig.'!U51</f>
        <v>0</v>
      </c>
      <c r="D266" s="541" t="s">
        <v>145</v>
      </c>
      <c r="E266" s="544"/>
      <c r="F266" s="484" t="s">
        <v>11</v>
      </c>
      <c r="P266" s="417"/>
      <c r="Q266" s="417"/>
      <c r="R266" s="417"/>
      <c r="S266" s="417"/>
      <c r="T266" s="417"/>
      <c r="U266" s="417"/>
      <c r="V266" s="417"/>
      <c r="W266" s="417"/>
      <c r="X266" s="417"/>
      <c r="Y266" s="417"/>
      <c r="Z266" s="417"/>
      <c r="AA266" s="417"/>
      <c r="AB266" s="417"/>
      <c r="AC266" s="417"/>
      <c r="AD266" s="417"/>
      <c r="AE266" s="417"/>
      <c r="AF266" s="417"/>
      <c r="AG266" s="417"/>
      <c r="AH266" s="40"/>
      <c r="AI266" s="40"/>
      <c r="AJ266" s="40"/>
      <c r="AK266" s="40"/>
      <c r="AL266" s="40"/>
      <c r="AM266" s="40"/>
      <c r="AN266" s="40"/>
      <c r="AO266" s="40"/>
      <c r="AP266" s="40"/>
      <c r="AQ266" s="40"/>
      <c r="AR266" s="40"/>
      <c r="AS266" s="40"/>
      <c r="AT266" s="40"/>
    </row>
    <row r="267" spans="2:46" ht="15" hidden="1" customHeight="1" outlineLevel="1" thickBot="1">
      <c r="B267" s="466"/>
      <c r="C267" s="546">
        <f>ROUND(((SUM(C256:C266)-E241)*D69),0)</f>
        <v>0</v>
      </c>
      <c r="D267" s="547" t="s">
        <v>146</v>
      </c>
      <c r="E267" s="548"/>
      <c r="F267" s="484" t="s">
        <v>11</v>
      </c>
      <c r="P267" s="417"/>
      <c r="Q267" s="417"/>
      <c r="R267" s="417"/>
      <c r="S267" s="417"/>
      <c r="T267" s="417"/>
      <c r="U267" s="417"/>
      <c r="V267" s="417"/>
      <c r="W267" s="417"/>
      <c r="X267" s="417"/>
      <c r="Y267" s="417"/>
      <c r="Z267" s="417"/>
      <c r="AA267" s="417"/>
      <c r="AB267" s="417"/>
      <c r="AC267" s="417"/>
      <c r="AD267" s="417"/>
      <c r="AE267" s="417"/>
      <c r="AF267" s="417"/>
      <c r="AG267" s="417"/>
      <c r="AH267" s="40"/>
      <c r="AI267" s="40"/>
      <c r="AJ267" s="40"/>
      <c r="AK267" s="40"/>
      <c r="AL267" s="40"/>
      <c r="AM267" s="40"/>
      <c r="AN267" s="40"/>
      <c r="AO267" s="40"/>
      <c r="AP267" s="40"/>
      <c r="AQ267" s="40"/>
      <c r="AR267" s="40"/>
      <c r="AS267" s="40"/>
      <c r="AT267" s="40"/>
    </row>
    <row r="268" spans="2:46" ht="15" hidden="1" customHeight="1" outlineLevel="1" thickBot="1">
      <c r="B268" s="466"/>
      <c r="C268" s="549">
        <f>SUM(C256:C267)</f>
        <v>0</v>
      </c>
      <c r="D268" s="456" t="s">
        <v>98</v>
      </c>
      <c r="E268" s="550"/>
      <c r="F268" s="484" t="s">
        <v>11</v>
      </c>
      <c r="P268" s="417"/>
      <c r="Q268" s="417"/>
      <c r="R268" s="417"/>
      <c r="S268" s="417"/>
      <c r="T268" s="417"/>
      <c r="U268" s="417"/>
      <c r="V268" s="417"/>
      <c r="W268" s="417"/>
      <c r="X268" s="417"/>
      <c r="Y268" s="417"/>
      <c r="Z268" s="417"/>
      <c r="AA268" s="417"/>
      <c r="AB268" s="417"/>
      <c r="AC268" s="417"/>
      <c r="AD268" s="417"/>
      <c r="AE268" s="417"/>
      <c r="AF268" s="417"/>
      <c r="AG268" s="417"/>
      <c r="AH268" s="40"/>
      <c r="AI268" s="40"/>
      <c r="AJ268" s="40"/>
      <c r="AK268" s="40"/>
      <c r="AL268" s="40"/>
      <c r="AM268" s="40"/>
      <c r="AN268" s="40"/>
      <c r="AO268" s="40"/>
      <c r="AP268" s="40"/>
      <c r="AQ268" s="40"/>
      <c r="AR268" s="40"/>
      <c r="AS268" s="40"/>
      <c r="AT268" s="40"/>
    </row>
    <row r="269" spans="2:46" ht="15" hidden="1" customHeight="1" outlineLevel="1" thickBot="1">
      <c r="B269" s="472"/>
      <c r="C269" s="551"/>
      <c r="D269" s="552"/>
      <c r="E269" s="473"/>
      <c r="F269" s="553" t="s">
        <v>11</v>
      </c>
      <c r="P269" s="417"/>
      <c r="Q269" s="417"/>
      <c r="R269" s="417"/>
      <c r="S269" s="417"/>
      <c r="T269" s="417"/>
      <c r="U269" s="417"/>
      <c r="V269" s="417"/>
      <c r="W269" s="417"/>
      <c r="X269" s="417"/>
      <c r="Y269" s="417"/>
      <c r="Z269" s="417"/>
      <c r="AA269" s="417"/>
      <c r="AB269" s="417"/>
      <c r="AC269" s="417"/>
      <c r="AD269" s="417"/>
      <c r="AE269" s="417"/>
      <c r="AF269" s="417"/>
      <c r="AG269" s="417"/>
      <c r="AH269" s="40"/>
      <c r="AI269" s="40"/>
      <c r="AJ269" s="40"/>
      <c r="AK269" s="40"/>
      <c r="AL269" s="40"/>
      <c r="AM269" s="40"/>
      <c r="AN269" s="40"/>
      <c r="AO269" s="40"/>
      <c r="AP269" s="40"/>
      <c r="AQ269" s="40"/>
      <c r="AR269" s="40"/>
      <c r="AS269" s="40"/>
      <c r="AT269" s="40"/>
    </row>
    <row r="270" spans="2:46" ht="15" customHeight="1" collapsed="1">
      <c r="B270" s="98"/>
      <c r="C270" s="98"/>
      <c r="D270" s="453"/>
      <c r="E270" s="441"/>
      <c r="F270" s="441"/>
      <c r="P270" s="417"/>
      <c r="Q270" s="417"/>
      <c r="R270" s="417"/>
      <c r="S270" s="417"/>
      <c r="T270" s="417"/>
      <c r="U270" s="417"/>
      <c r="V270" s="417"/>
      <c r="W270" s="417"/>
      <c r="X270" s="417"/>
      <c r="Y270" s="417"/>
      <c r="Z270" s="417"/>
      <c r="AA270" s="417"/>
      <c r="AB270" s="417"/>
      <c r="AC270" s="417"/>
      <c r="AD270" s="417"/>
      <c r="AE270" s="417"/>
      <c r="AF270" s="417"/>
      <c r="AG270" s="417"/>
      <c r="AH270" s="40"/>
      <c r="AI270" s="40"/>
      <c r="AJ270" s="40"/>
      <c r="AK270" s="40"/>
      <c r="AL270" s="40"/>
      <c r="AM270" s="40"/>
      <c r="AN270" s="40"/>
      <c r="AO270" s="40"/>
      <c r="AP270" s="40"/>
      <c r="AQ270" s="40"/>
      <c r="AR270" s="40"/>
      <c r="AS270" s="40"/>
      <c r="AT270" s="40"/>
    </row>
    <row r="271" spans="2:46" ht="18" customHeight="1">
      <c r="C271" s="1326" t="s">
        <v>540</v>
      </c>
      <c r="D271" s="1326"/>
      <c r="E271" s="1326"/>
      <c r="P271" s="417"/>
      <c r="Q271" s="417"/>
      <c r="R271" s="417"/>
      <c r="S271" s="417"/>
      <c r="T271" s="417"/>
      <c r="U271" s="417"/>
      <c r="V271" s="417"/>
      <c r="W271" s="417"/>
      <c r="X271" s="417"/>
      <c r="Y271" s="417"/>
      <c r="Z271" s="417"/>
      <c r="AA271" s="417"/>
      <c r="AB271" s="417"/>
      <c r="AC271" s="417"/>
      <c r="AD271" s="417"/>
      <c r="AE271" s="417"/>
      <c r="AF271" s="417"/>
      <c r="AG271" s="417"/>
      <c r="AH271" s="40"/>
      <c r="AI271" s="40"/>
      <c r="AJ271" s="40"/>
      <c r="AK271" s="40"/>
      <c r="AL271" s="40"/>
      <c r="AM271" s="40"/>
      <c r="AN271" s="40"/>
      <c r="AO271" s="40"/>
      <c r="AP271" s="40"/>
      <c r="AQ271" s="40"/>
      <c r="AR271" s="40"/>
      <c r="AS271" s="40"/>
      <c r="AT271" s="40"/>
    </row>
    <row r="272" spans="2:46" ht="18" customHeight="1">
      <c r="C272" s="1015" t="s">
        <v>75</v>
      </c>
      <c r="D272" s="1015" t="s">
        <v>76</v>
      </c>
      <c r="E272" s="1015" t="s">
        <v>98</v>
      </c>
      <c r="F272" s="416" t="s">
        <v>11</v>
      </c>
      <c r="P272" s="417"/>
      <c r="Q272" s="417"/>
      <c r="R272" s="417"/>
      <c r="S272" s="417"/>
      <c r="T272" s="417"/>
      <c r="U272" s="417"/>
      <c r="V272" s="417"/>
      <c r="W272" s="417"/>
      <c r="X272" s="417"/>
      <c r="Y272" s="417"/>
      <c r="Z272" s="417"/>
      <c r="AA272" s="417"/>
      <c r="AB272" s="417"/>
      <c r="AC272" s="417"/>
      <c r="AD272" s="417"/>
      <c r="AE272" s="417"/>
      <c r="AF272" s="417"/>
      <c r="AG272" s="417"/>
      <c r="AH272" s="40"/>
      <c r="AI272" s="40"/>
      <c r="AJ272" s="40"/>
      <c r="AK272" s="40"/>
      <c r="AL272" s="40"/>
      <c r="AM272" s="40"/>
      <c r="AN272" s="40"/>
      <c r="AO272" s="40"/>
      <c r="AP272" s="40"/>
      <c r="AQ272" s="40"/>
      <c r="AR272" s="40"/>
      <c r="AS272" s="40"/>
      <c r="AT272" s="40"/>
    </row>
    <row r="273" spans="3:46" ht="15" customHeight="1">
      <c r="C273" s="1013">
        <f>E273/(1+D19)</f>
        <v>0</v>
      </c>
      <c r="D273" s="1014">
        <f>E273-C273</f>
        <v>0</v>
      </c>
      <c r="E273" s="1013">
        <f>Reconciliation!E54</f>
        <v>0</v>
      </c>
      <c r="F273" s="416" t="s">
        <v>11</v>
      </c>
      <c r="P273" s="417"/>
      <c r="Q273" s="417"/>
      <c r="R273" s="417"/>
      <c r="S273" s="417"/>
      <c r="T273" s="417"/>
      <c r="U273" s="417"/>
      <c r="V273" s="417"/>
      <c r="W273" s="417"/>
      <c r="X273" s="417"/>
      <c r="Y273" s="417"/>
      <c r="Z273" s="417"/>
      <c r="AA273" s="417"/>
      <c r="AB273" s="417"/>
      <c r="AC273" s="417"/>
      <c r="AD273" s="417"/>
      <c r="AE273" s="417"/>
      <c r="AF273" s="417"/>
      <c r="AG273" s="417"/>
      <c r="AH273" s="40"/>
      <c r="AI273" s="40"/>
      <c r="AJ273" s="40"/>
      <c r="AK273" s="40"/>
      <c r="AL273" s="40"/>
      <c r="AM273" s="40"/>
      <c r="AN273" s="40"/>
      <c r="AO273" s="40"/>
      <c r="AP273" s="40"/>
      <c r="AQ273" s="40"/>
      <c r="AR273" s="40"/>
      <c r="AS273" s="40"/>
      <c r="AT273" s="40"/>
    </row>
    <row r="274" spans="3:46" ht="15.6">
      <c r="C274" s="40"/>
      <c r="D274" s="40"/>
      <c r="P274" s="417"/>
      <c r="Q274" s="417"/>
      <c r="R274" s="417"/>
      <c r="S274" s="417"/>
      <c r="T274" s="417"/>
      <c r="U274" s="417"/>
      <c r="V274" s="417"/>
      <c r="W274" s="417"/>
      <c r="X274" s="417"/>
      <c r="Y274" s="417"/>
      <c r="Z274" s="417"/>
      <c r="AA274" s="417"/>
      <c r="AB274" s="417"/>
      <c r="AC274" s="417"/>
      <c r="AD274" s="417"/>
      <c r="AE274" s="417"/>
      <c r="AF274" s="417"/>
      <c r="AG274" s="417"/>
      <c r="AH274" s="40"/>
      <c r="AI274" s="40"/>
      <c r="AJ274" s="40"/>
      <c r="AK274" s="40"/>
      <c r="AL274" s="40"/>
      <c r="AM274" s="40"/>
      <c r="AN274" s="40"/>
      <c r="AO274" s="40"/>
      <c r="AP274" s="40"/>
      <c r="AQ274" s="40"/>
      <c r="AR274" s="40"/>
      <c r="AS274" s="40"/>
      <c r="AT274" s="40"/>
    </row>
    <row r="275" spans="3:46" ht="15.6">
      <c r="C275" s="1326" t="s">
        <v>147</v>
      </c>
      <c r="D275" s="1326"/>
      <c r="E275" s="1326"/>
      <c r="P275" s="417"/>
      <c r="Q275" s="417"/>
      <c r="R275" s="417"/>
      <c r="S275" s="417"/>
      <c r="T275" s="417"/>
      <c r="U275" s="417"/>
      <c r="V275" s="417"/>
      <c r="W275" s="417"/>
      <c r="X275" s="417"/>
      <c r="Y275" s="417"/>
      <c r="Z275" s="417"/>
      <c r="AA275" s="417"/>
      <c r="AB275" s="417"/>
      <c r="AC275" s="417"/>
      <c r="AD275" s="417"/>
      <c r="AE275" s="417"/>
      <c r="AF275" s="417"/>
      <c r="AG275" s="417"/>
      <c r="AH275" s="40"/>
      <c r="AI275" s="40"/>
      <c r="AJ275" s="40"/>
      <c r="AK275" s="40"/>
      <c r="AL275" s="40"/>
      <c r="AM275" s="40"/>
      <c r="AN275" s="40"/>
      <c r="AO275" s="40"/>
      <c r="AP275" s="40"/>
      <c r="AQ275" s="40"/>
      <c r="AR275" s="40"/>
      <c r="AS275" s="40"/>
      <c r="AT275" s="40"/>
    </row>
    <row r="276" spans="3:46" ht="15.6" hidden="1" outlineLevel="1">
      <c r="C276" s="1019"/>
      <c r="D276" s="1020" t="s">
        <v>148</v>
      </c>
      <c r="E276" s="1016" t="str">
        <f>D21</f>
        <v xml:space="preserve">NATL INST-OF-HEALTH    </v>
      </c>
      <c r="F276" s="416" t="s">
        <v>11</v>
      </c>
      <c r="P276" s="417"/>
      <c r="Q276" s="417"/>
      <c r="R276" s="417"/>
      <c r="S276" s="417"/>
      <c r="T276" s="417"/>
      <c r="U276" s="417"/>
      <c r="V276" s="417"/>
      <c r="W276" s="417"/>
      <c r="X276" s="417"/>
      <c r="Y276" s="417"/>
      <c r="Z276" s="417"/>
      <c r="AA276" s="417"/>
      <c r="AB276" s="417"/>
      <c r="AC276" s="417"/>
      <c r="AD276" s="417"/>
      <c r="AE276" s="417"/>
      <c r="AF276" s="417"/>
      <c r="AG276" s="417"/>
      <c r="AH276" s="40"/>
      <c r="AI276" s="40"/>
      <c r="AJ276" s="40"/>
      <c r="AK276" s="40"/>
      <c r="AL276" s="40"/>
      <c r="AM276" s="40"/>
      <c r="AN276" s="40"/>
      <c r="AO276" s="40"/>
      <c r="AP276" s="40"/>
      <c r="AQ276" s="40"/>
      <c r="AR276" s="40"/>
      <c r="AS276" s="40"/>
      <c r="AT276" s="40"/>
    </row>
    <row r="277" spans="3:46" ht="15.6" hidden="1" outlineLevel="1">
      <c r="C277" s="1021"/>
      <c r="D277" s="1022" t="s">
        <v>149</v>
      </c>
      <c r="E277" s="1017">
        <f>D109</f>
        <v>8138</v>
      </c>
      <c r="P277" s="417"/>
      <c r="Q277" s="417"/>
      <c r="R277" s="417"/>
      <c r="S277" s="417"/>
      <c r="T277" s="417"/>
      <c r="U277" s="417"/>
      <c r="V277" s="417"/>
      <c r="W277" s="417"/>
      <c r="X277" s="417"/>
      <c r="Y277" s="417"/>
      <c r="Z277" s="417"/>
      <c r="AA277" s="417"/>
      <c r="AB277" s="417"/>
      <c r="AC277" s="417"/>
      <c r="AD277" s="417"/>
      <c r="AE277" s="417"/>
      <c r="AF277" s="417"/>
      <c r="AG277" s="417"/>
      <c r="AH277" s="40"/>
      <c r="AI277" s="40"/>
      <c r="AJ277" s="40"/>
      <c r="AK277" s="40"/>
      <c r="AL277" s="40"/>
      <c r="AM277" s="40"/>
      <c r="AN277" s="40"/>
      <c r="AO277" s="40"/>
      <c r="AP277" s="40"/>
      <c r="AQ277" s="40"/>
      <c r="AR277" s="40"/>
      <c r="AS277" s="40"/>
      <c r="AT277" s="40"/>
    </row>
    <row r="278" spans="3:46" ht="15.6" hidden="1" outlineLevel="1">
      <c r="C278" s="1023"/>
      <c r="D278" s="1022" t="s">
        <v>150</v>
      </c>
      <c r="E278" s="1017">
        <f>-Reconciliation!D39</f>
        <v>6152.27</v>
      </c>
      <c r="P278" s="417"/>
      <c r="Q278" s="417"/>
      <c r="R278" s="417"/>
      <c r="S278" s="417"/>
      <c r="T278" s="417"/>
      <c r="U278" s="417"/>
      <c r="V278" s="417"/>
      <c r="W278" s="417"/>
      <c r="X278" s="417"/>
      <c r="Y278" s="417"/>
      <c r="Z278" s="417"/>
      <c r="AA278" s="417"/>
      <c r="AB278" s="417"/>
      <c r="AC278" s="417"/>
      <c r="AD278" s="417"/>
      <c r="AE278" s="417"/>
      <c r="AF278" s="417"/>
      <c r="AG278" s="417"/>
      <c r="AH278" s="40"/>
      <c r="AI278" s="40"/>
      <c r="AJ278" s="40"/>
      <c r="AK278" s="40"/>
      <c r="AL278" s="40"/>
      <c r="AM278" s="40"/>
      <c r="AN278" s="40"/>
      <c r="AO278" s="40"/>
      <c r="AP278" s="40"/>
      <c r="AQ278" s="40"/>
      <c r="AR278" s="40"/>
      <c r="AS278" s="40"/>
      <c r="AT278" s="40"/>
    </row>
    <row r="279" spans="3:46" ht="15.6" hidden="1" outlineLevel="1">
      <c r="C279" s="1023"/>
      <c r="D279" s="1022" t="s">
        <v>151</v>
      </c>
      <c r="E279" s="1018">
        <f>E277-E278</f>
        <v>1985.7299999999996</v>
      </c>
      <c r="P279" s="417"/>
      <c r="Q279" s="417"/>
      <c r="R279" s="417"/>
      <c r="S279" s="417"/>
      <c r="T279" s="417"/>
      <c r="U279" s="417"/>
      <c r="V279" s="417"/>
      <c r="W279" s="417"/>
      <c r="X279" s="417"/>
      <c r="Y279" s="417"/>
      <c r="Z279" s="417"/>
      <c r="AA279" s="417"/>
      <c r="AB279" s="417"/>
      <c r="AC279" s="417"/>
      <c r="AD279" s="417"/>
      <c r="AE279" s="417"/>
      <c r="AF279" s="417"/>
      <c r="AG279" s="417"/>
      <c r="AH279" s="40"/>
      <c r="AI279" s="40"/>
      <c r="AJ279" s="40"/>
      <c r="AK279" s="40"/>
      <c r="AL279" s="40"/>
      <c r="AM279" s="40"/>
      <c r="AN279" s="40"/>
      <c r="AO279" s="40"/>
      <c r="AP279" s="40"/>
      <c r="AQ279" s="40"/>
      <c r="AR279" s="40"/>
      <c r="AS279" s="40"/>
      <c r="AT279" s="40"/>
    </row>
    <row r="280" spans="3:46" ht="15.6" hidden="1" outlineLevel="1">
      <c r="C280" s="1024"/>
      <c r="D280" s="1020" t="s">
        <v>152</v>
      </c>
      <c r="E280" s="1025">
        <f>Reconciliation!E40</f>
        <v>26811.279999999999</v>
      </c>
      <c r="P280" s="417"/>
      <c r="Q280" s="417"/>
      <c r="R280" s="417"/>
      <c r="S280" s="417"/>
      <c r="T280" s="417"/>
      <c r="U280" s="417"/>
      <c r="V280" s="417"/>
      <c r="W280" s="417"/>
      <c r="X280" s="417"/>
      <c r="Y280" s="417"/>
      <c r="Z280" s="417"/>
      <c r="AA280" s="417"/>
      <c r="AB280" s="417"/>
      <c r="AC280" s="417"/>
      <c r="AD280" s="417"/>
      <c r="AE280" s="417"/>
      <c r="AF280" s="417"/>
      <c r="AG280" s="417"/>
      <c r="AH280" s="40"/>
      <c r="AI280" s="40"/>
      <c r="AJ280" s="40"/>
      <c r="AK280" s="40"/>
      <c r="AL280" s="40"/>
      <c r="AM280" s="40"/>
      <c r="AN280" s="40"/>
      <c r="AO280" s="40"/>
      <c r="AP280" s="40"/>
      <c r="AQ280" s="40"/>
      <c r="AR280" s="40"/>
      <c r="AS280" s="40"/>
      <c r="AT280" s="40"/>
    </row>
    <row r="281" spans="3:46" ht="15.6" hidden="1" outlineLevel="1">
      <c r="C281" s="1023"/>
      <c r="D281" s="1022" t="s">
        <v>153</v>
      </c>
      <c r="E281" s="1026" t="str">
        <f>IF(E280&gt;=E279,"N/A  ",E279)</f>
        <v xml:space="preserve">N/A  </v>
      </c>
      <c r="P281" s="417"/>
      <c r="Q281" s="417"/>
      <c r="R281" s="417"/>
      <c r="S281" s="417"/>
      <c r="T281" s="417"/>
      <c r="U281" s="417"/>
      <c r="V281" s="417"/>
      <c r="W281" s="417"/>
      <c r="X281" s="417"/>
      <c r="Y281" s="417"/>
      <c r="Z281" s="417"/>
      <c r="AA281" s="417"/>
      <c r="AB281" s="417"/>
      <c r="AC281" s="417"/>
      <c r="AD281" s="417"/>
      <c r="AE281" s="417"/>
      <c r="AF281" s="417"/>
      <c r="AG281" s="417"/>
      <c r="AH281" s="40"/>
      <c r="AI281" s="40"/>
      <c r="AJ281" s="40"/>
      <c r="AK281" s="40"/>
      <c r="AL281" s="40"/>
      <c r="AM281" s="40"/>
      <c r="AN281" s="40"/>
      <c r="AO281" s="40"/>
      <c r="AP281" s="40"/>
      <c r="AQ281" s="40"/>
      <c r="AR281" s="40"/>
      <c r="AS281" s="40"/>
      <c r="AT281" s="40"/>
    </row>
    <row r="282" spans="3:46" ht="15.6" collapsed="1">
      <c r="C282" s="40"/>
      <c r="D282" s="40"/>
      <c r="P282" s="417"/>
      <c r="Q282" s="417"/>
      <c r="R282" s="417"/>
      <c r="S282" s="417"/>
      <c r="T282" s="417"/>
      <c r="U282" s="417"/>
      <c r="V282" s="417"/>
      <c r="W282" s="417"/>
      <c r="X282" s="417"/>
      <c r="Y282" s="417"/>
      <c r="Z282" s="417"/>
      <c r="AA282" s="417"/>
      <c r="AB282" s="417"/>
      <c r="AC282" s="417"/>
      <c r="AD282" s="417"/>
      <c r="AE282" s="417"/>
      <c r="AF282" s="417"/>
      <c r="AG282" s="417"/>
      <c r="AH282" s="40"/>
      <c r="AI282" s="40"/>
      <c r="AJ282" s="40"/>
      <c r="AK282" s="40"/>
      <c r="AL282" s="40"/>
      <c r="AM282" s="40"/>
      <c r="AN282" s="40"/>
      <c r="AO282" s="40"/>
      <c r="AP282" s="40"/>
      <c r="AQ282" s="40"/>
      <c r="AR282" s="40"/>
      <c r="AS282" s="40"/>
      <c r="AT282" s="40"/>
    </row>
    <row r="283" spans="3:46" ht="15.6">
      <c r="C283" s="1308" t="s">
        <v>154</v>
      </c>
      <c r="D283" s="1309"/>
      <c r="E283" s="1310"/>
      <c r="P283" s="417"/>
      <c r="Q283" s="417"/>
      <c r="R283" s="417"/>
      <c r="S283" s="417"/>
      <c r="T283" s="417"/>
      <c r="U283" s="417"/>
      <c r="V283" s="417"/>
      <c r="W283" s="417"/>
      <c r="X283" s="417"/>
      <c r="Y283" s="417"/>
      <c r="Z283" s="417"/>
      <c r="AA283" s="417"/>
      <c r="AB283" s="417"/>
      <c r="AC283" s="417"/>
      <c r="AD283" s="417"/>
      <c r="AE283" s="417"/>
      <c r="AF283" s="417"/>
      <c r="AG283" s="417"/>
      <c r="AH283" s="40"/>
      <c r="AI283" s="40"/>
      <c r="AJ283" s="40"/>
      <c r="AK283" s="40"/>
      <c r="AL283" s="40"/>
      <c r="AM283" s="40"/>
      <c r="AN283" s="40"/>
      <c r="AO283" s="40"/>
      <c r="AP283" s="40"/>
      <c r="AQ283" s="40"/>
      <c r="AR283" s="40"/>
      <c r="AS283" s="40"/>
      <c r="AT283" s="40"/>
    </row>
    <row r="284" spans="3:46" ht="15.6">
      <c r="C284" s="1027" t="str">
        <f>IF(Reconciliation!$E$50&gt;0,"The unobligated balance of "&amp;DOLLAR(Reconciliation!$E$50,2)&amp;" is being brought forward","")</f>
        <v>The unobligated balance of $26,811.28 is being brought forward</v>
      </c>
      <c r="D284" s="1028"/>
      <c r="E284" s="1029"/>
      <c r="P284" s="417"/>
      <c r="Q284" s="417"/>
      <c r="R284" s="417"/>
      <c r="S284" s="417"/>
      <c r="T284" s="417"/>
      <c r="U284" s="417"/>
      <c r="V284" s="417"/>
      <c r="W284" s="417"/>
      <c r="X284" s="417"/>
      <c r="Y284" s="417"/>
      <c r="Z284" s="417"/>
      <c r="AA284" s="417"/>
      <c r="AB284" s="417"/>
      <c r="AC284" s="417"/>
      <c r="AD284" s="417"/>
      <c r="AE284" s="417"/>
      <c r="AF284" s="417"/>
      <c r="AG284" s="417"/>
      <c r="AH284" s="40"/>
      <c r="AI284" s="40"/>
      <c r="AJ284" s="40"/>
      <c r="AK284" s="40"/>
      <c r="AL284" s="40"/>
      <c r="AM284" s="40"/>
      <c r="AN284" s="40"/>
      <c r="AO284" s="40"/>
      <c r="AP284" s="40"/>
      <c r="AQ284" s="40"/>
      <c r="AR284" s="40"/>
      <c r="AS284" s="40"/>
      <c r="AT284" s="40"/>
    </row>
    <row r="285" spans="3:46" ht="15.6">
      <c r="C285" s="1030" t="str">
        <f>IF(Reconciliation!E50&gt;0,"from year "&amp;FIXED((Input!D64-1),0),"")&amp;IF(Reconciliation!E50&gt;0," to year "&amp;FIXED(Input!D64,0)&amp;" as additional funding. ","")</f>
        <v xml:space="preserve">from year 1 to year 2 as additional funding. </v>
      </c>
      <c r="D285" s="1028"/>
      <c r="E285" s="1029"/>
      <c r="P285" s="417"/>
      <c r="Q285" s="417"/>
      <c r="R285" s="417"/>
      <c r="S285" s="417"/>
      <c r="T285" s="417"/>
      <c r="U285" s="417"/>
      <c r="V285" s="417"/>
      <c r="W285" s="417"/>
      <c r="X285" s="417"/>
      <c r="Y285" s="417"/>
      <c r="Z285" s="417"/>
      <c r="AA285" s="417"/>
      <c r="AB285" s="417"/>
      <c r="AC285" s="417"/>
      <c r="AD285" s="417"/>
      <c r="AE285" s="417"/>
      <c r="AF285" s="417"/>
      <c r="AG285" s="417"/>
      <c r="AH285" s="40"/>
      <c r="AI285" s="40"/>
      <c r="AJ285" s="40"/>
      <c r="AK285" s="40"/>
      <c r="AL285" s="40"/>
      <c r="AM285" s="40"/>
      <c r="AN285" s="40"/>
      <c r="AO285" s="40"/>
      <c r="AP285" s="40"/>
      <c r="AQ285" s="40"/>
      <c r="AR285" s="40"/>
      <c r="AS285" s="40"/>
      <c r="AT285" s="40"/>
    </row>
    <row r="286" spans="3:46" ht="15.6">
      <c r="C286" s="1031" t="s">
        <v>374</v>
      </c>
      <c r="D286" s="1028"/>
      <c r="E286" s="1029"/>
      <c r="P286" s="417"/>
      <c r="Q286" s="417"/>
      <c r="R286" s="417"/>
      <c r="S286" s="417"/>
      <c r="T286" s="417"/>
      <c r="U286" s="417"/>
      <c r="V286" s="417"/>
      <c r="W286" s="417"/>
      <c r="X286" s="417"/>
      <c r="Y286" s="417"/>
      <c r="Z286" s="417"/>
      <c r="AA286" s="417"/>
      <c r="AB286" s="417"/>
      <c r="AC286" s="417"/>
      <c r="AD286" s="417"/>
      <c r="AE286" s="417"/>
      <c r="AF286" s="417"/>
      <c r="AG286" s="417"/>
      <c r="AH286" s="40"/>
      <c r="AI286" s="40"/>
      <c r="AJ286" s="40"/>
      <c r="AK286" s="40"/>
      <c r="AL286" s="40"/>
      <c r="AM286" s="40"/>
      <c r="AN286" s="40"/>
      <c r="AO286" s="40"/>
      <c r="AP286" s="40"/>
      <c r="AQ286" s="40"/>
      <c r="AR286" s="40"/>
      <c r="AS286" s="40"/>
      <c r="AT286" s="40"/>
    </row>
    <row r="287" spans="3:46" ht="15.6">
      <c r="C287" s="1031"/>
      <c r="D287" s="1028"/>
      <c r="E287" s="1029"/>
      <c r="P287" s="417"/>
      <c r="Q287" s="417"/>
      <c r="R287" s="417"/>
      <c r="S287" s="417"/>
      <c r="T287" s="417"/>
      <c r="U287" s="417"/>
      <c r="V287" s="417"/>
      <c r="W287" s="417"/>
      <c r="X287" s="417"/>
      <c r="Y287" s="417"/>
      <c r="Z287" s="417"/>
      <c r="AA287" s="417"/>
      <c r="AB287" s="417"/>
      <c r="AC287" s="417"/>
      <c r="AD287" s="417"/>
      <c r="AE287" s="417"/>
      <c r="AF287" s="417"/>
      <c r="AG287" s="417"/>
      <c r="AH287" s="40"/>
      <c r="AI287" s="40"/>
      <c r="AJ287" s="40"/>
      <c r="AK287" s="40"/>
      <c r="AL287" s="40"/>
      <c r="AM287" s="40"/>
      <c r="AN287" s="40"/>
      <c r="AO287" s="40"/>
      <c r="AP287" s="40"/>
      <c r="AQ287" s="40"/>
      <c r="AR287" s="40"/>
      <c r="AS287" s="40"/>
      <c r="AT287" s="40"/>
    </row>
    <row r="288" spans="3:46" ht="15.6">
      <c r="C288" s="879" t="s">
        <v>536</v>
      </c>
      <c r="D288" s="1322"/>
      <c r="E288" s="1323"/>
      <c r="P288" s="417"/>
      <c r="Q288" s="417"/>
      <c r="R288" s="417"/>
      <c r="S288" s="417"/>
      <c r="T288" s="417"/>
      <c r="U288" s="417"/>
      <c r="V288" s="417"/>
      <c r="W288" s="417"/>
      <c r="X288" s="417"/>
      <c r="Y288" s="417"/>
      <c r="Z288" s="417"/>
      <c r="AA288" s="417"/>
      <c r="AB288" s="417"/>
      <c r="AC288" s="417"/>
      <c r="AD288" s="417"/>
      <c r="AE288" s="417"/>
      <c r="AF288" s="417"/>
      <c r="AG288" s="417"/>
      <c r="AH288" s="40"/>
      <c r="AI288" s="40"/>
      <c r="AJ288" s="40"/>
      <c r="AK288" s="40"/>
      <c r="AL288" s="40"/>
      <c r="AM288" s="40"/>
      <c r="AN288" s="40"/>
      <c r="AO288" s="40"/>
      <c r="AP288" s="40"/>
      <c r="AQ288" s="40"/>
      <c r="AR288" s="40"/>
      <c r="AS288" s="40"/>
      <c r="AT288" s="40"/>
    </row>
    <row r="289" spans="3:46" ht="15.6">
      <c r="C289" s="417"/>
      <c r="D289" s="417"/>
      <c r="E289" s="417"/>
      <c r="P289" s="417"/>
      <c r="Q289" s="417"/>
      <c r="R289" s="417"/>
      <c r="S289" s="417"/>
      <c r="T289" s="417"/>
      <c r="U289" s="417"/>
      <c r="V289" s="417"/>
      <c r="W289" s="417"/>
      <c r="X289" s="417"/>
      <c r="Y289" s="417"/>
      <c r="Z289" s="417"/>
      <c r="AA289" s="417"/>
      <c r="AB289" s="417"/>
      <c r="AC289" s="417"/>
      <c r="AD289" s="417"/>
      <c r="AE289" s="417"/>
      <c r="AF289" s="417"/>
      <c r="AG289" s="417"/>
      <c r="AH289" s="40"/>
      <c r="AI289" s="40"/>
      <c r="AJ289" s="40"/>
      <c r="AK289" s="40"/>
      <c r="AL289" s="40"/>
      <c r="AM289" s="40"/>
      <c r="AN289" s="40"/>
      <c r="AO289" s="40"/>
      <c r="AP289" s="40"/>
      <c r="AQ289" s="40"/>
      <c r="AR289" s="40"/>
      <c r="AS289" s="40"/>
      <c r="AT289" s="40"/>
    </row>
    <row r="290" spans="3:46" ht="12.9" customHeight="1">
      <c r="C290" s="40" t="s">
        <v>11</v>
      </c>
      <c r="D290" s="40"/>
      <c r="P290" s="417"/>
      <c r="Q290" s="417"/>
      <c r="R290" s="417"/>
      <c r="S290" s="417"/>
      <c r="T290" s="417"/>
      <c r="U290" s="417"/>
      <c r="V290" s="417"/>
      <c r="W290" s="417"/>
      <c r="X290" s="417"/>
      <c r="Y290" s="417"/>
      <c r="Z290" s="417"/>
      <c r="AA290" s="417"/>
      <c r="AB290" s="417"/>
      <c r="AC290" s="417"/>
      <c r="AD290" s="417"/>
      <c r="AE290" s="417"/>
      <c r="AF290" s="417"/>
      <c r="AG290" s="417"/>
      <c r="AH290" s="40"/>
      <c r="AI290" s="40"/>
      <c r="AJ290" s="40"/>
      <c r="AK290" s="40"/>
      <c r="AL290" s="40"/>
      <c r="AM290" s="40"/>
      <c r="AN290" s="40"/>
      <c r="AO290" s="40"/>
      <c r="AP290" s="40"/>
      <c r="AQ290" s="40"/>
      <c r="AR290" s="40"/>
      <c r="AS290" s="40"/>
      <c r="AT290" s="40"/>
    </row>
    <row r="291" spans="3:46" ht="33.6">
      <c r="C291" s="859" t="s">
        <v>159</v>
      </c>
      <c r="D291" s="860"/>
      <c r="E291" s="861"/>
      <c r="P291" s="417"/>
      <c r="Q291" s="417"/>
      <c r="R291" s="417"/>
      <c r="S291" s="417"/>
      <c r="T291" s="417"/>
      <c r="U291" s="417"/>
      <c r="V291" s="417"/>
      <c r="W291" s="417"/>
      <c r="X291" s="417"/>
      <c r="Y291" s="417"/>
      <c r="Z291" s="417"/>
      <c r="AA291" s="417"/>
      <c r="AB291" s="417"/>
      <c r="AC291" s="417"/>
      <c r="AD291" s="417"/>
      <c r="AE291" s="417"/>
      <c r="AF291" s="417"/>
      <c r="AG291" s="417"/>
      <c r="AH291" s="40"/>
      <c r="AI291" s="40"/>
      <c r="AJ291" s="40"/>
      <c r="AK291" s="40"/>
      <c r="AL291" s="40"/>
      <c r="AM291" s="40"/>
      <c r="AN291" s="40"/>
      <c r="AO291" s="40"/>
      <c r="AP291" s="40"/>
      <c r="AQ291" s="40"/>
      <c r="AR291" s="40"/>
      <c r="AS291" s="40"/>
      <c r="AT291" s="40"/>
    </row>
    <row r="292" spans="3:46" ht="18" customHeight="1">
      <c r="E292" s="417"/>
      <c r="P292" s="417"/>
      <c r="Q292" s="417"/>
      <c r="R292" s="417"/>
      <c r="S292" s="417"/>
      <c r="T292" s="417"/>
      <c r="U292" s="417"/>
      <c r="V292" s="417"/>
      <c r="W292" s="417"/>
      <c r="X292" s="417"/>
      <c r="Y292" s="417"/>
      <c r="Z292" s="417"/>
      <c r="AA292" s="417"/>
      <c r="AB292" s="417"/>
      <c r="AC292" s="417"/>
      <c r="AD292" s="417"/>
      <c r="AE292" s="417"/>
      <c r="AF292" s="417"/>
      <c r="AG292" s="417"/>
      <c r="AH292" s="40"/>
      <c r="AI292" s="40"/>
      <c r="AJ292" s="40"/>
      <c r="AK292" s="40"/>
      <c r="AL292" s="40"/>
      <c r="AM292" s="40"/>
      <c r="AN292" s="40"/>
      <c r="AO292" s="40"/>
      <c r="AP292" s="40"/>
      <c r="AQ292" s="40"/>
      <c r="AR292" s="40"/>
      <c r="AS292" s="40"/>
      <c r="AT292" s="40"/>
    </row>
    <row r="293" spans="3:46" ht="18" customHeight="1">
      <c r="E293" s="417"/>
      <c r="P293" s="417"/>
      <c r="Q293" s="417"/>
      <c r="R293" s="417"/>
      <c r="S293" s="417"/>
      <c r="T293" s="417"/>
      <c r="U293" s="417"/>
      <c r="V293" s="417"/>
      <c r="W293" s="417"/>
      <c r="X293" s="417"/>
      <c r="Y293" s="417"/>
      <c r="Z293" s="417"/>
      <c r="AA293" s="417"/>
      <c r="AB293" s="417"/>
      <c r="AC293" s="417"/>
      <c r="AD293" s="417"/>
      <c r="AE293" s="417"/>
      <c r="AF293" s="417"/>
      <c r="AG293" s="417"/>
      <c r="AH293" s="40"/>
      <c r="AI293" s="40"/>
      <c r="AJ293" s="40"/>
      <c r="AK293" s="40"/>
      <c r="AL293" s="40"/>
      <c r="AM293" s="40"/>
      <c r="AN293" s="40"/>
      <c r="AO293" s="40"/>
      <c r="AP293" s="40"/>
      <c r="AQ293" s="40"/>
      <c r="AR293" s="40"/>
      <c r="AS293" s="40"/>
      <c r="AT293" s="40"/>
    </row>
    <row r="294" spans="3:46" ht="18" customHeight="1">
      <c r="E294" s="417"/>
      <c r="P294" s="417"/>
      <c r="Q294" s="417"/>
      <c r="R294" s="417"/>
      <c r="S294" s="417"/>
      <c r="T294" s="417"/>
      <c r="U294" s="417"/>
      <c r="V294" s="417"/>
      <c r="W294" s="417"/>
      <c r="X294" s="417"/>
      <c r="Y294" s="417"/>
      <c r="Z294" s="417"/>
      <c r="AA294" s="417"/>
      <c r="AB294" s="417"/>
      <c r="AC294" s="417"/>
      <c r="AD294" s="417"/>
      <c r="AE294" s="417"/>
      <c r="AF294" s="417"/>
      <c r="AG294" s="417"/>
      <c r="AH294" s="40"/>
      <c r="AI294" s="40"/>
      <c r="AJ294" s="40"/>
      <c r="AK294" s="40"/>
      <c r="AL294" s="40"/>
      <c r="AM294" s="40"/>
      <c r="AN294" s="40"/>
      <c r="AO294" s="40"/>
      <c r="AP294" s="40"/>
      <c r="AQ294" s="40"/>
      <c r="AR294" s="40"/>
      <c r="AS294" s="40"/>
      <c r="AT294" s="40"/>
    </row>
    <row r="295" spans="3:46" ht="18" customHeight="1">
      <c r="E295" s="417"/>
      <c r="P295" s="417"/>
      <c r="Q295" s="417"/>
      <c r="R295" s="417"/>
      <c r="S295" s="417"/>
      <c r="T295" s="417"/>
      <c r="U295" s="417"/>
      <c r="V295" s="417"/>
      <c r="W295" s="417"/>
      <c r="X295" s="417"/>
      <c r="Y295" s="417"/>
      <c r="Z295" s="417"/>
      <c r="AA295" s="417"/>
      <c r="AB295" s="417"/>
      <c r="AC295" s="417"/>
      <c r="AD295" s="417"/>
      <c r="AE295" s="417"/>
      <c r="AF295" s="417"/>
      <c r="AG295" s="417"/>
      <c r="AH295" s="40"/>
      <c r="AI295" s="40"/>
      <c r="AJ295" s="40"/>
      <c r="AK295" s="40"/>
      <c r="AL295" s="40"/>
      <c r="AM295" s="40"/>
      <c r="AN295" s="40"/>
      <c r="AO295" s="40"/>
      <c r="AP295" s="40"/>
      <c r="AQ295" s="40"/>
      <c r="AR295" s="40"/>
      <c r="AS295" s="40"/>
      <c r="AT295" s="40"/>
    </row>
    <row r="296" spans="3:46" ht="18" customHeight="1">
      <c r="E296" s="417"/>
      <c r="P296" s="417"/>
      <c r="Q296" s="417"/>
      <c r="R296" s="417"/>
      <c r="S296" s="417"/>
      <c r="T296" s="417"/>
      <c r="U296" s="417"/>
      <c r="V296" s="417"/>
      <c r="W296" s="417"/>
      <c r="X296" s="417"/>
      <c r="Y296" s="417"/>
      <c r="Z296" s="417"/>
      <c r="AA296" s="417"/>
      <c r="AB296" s="417"/>
      <c r="AC296" s="417"/>
      <c r="AD296" s="417"/>
      <c r="AE296" s="417"/>
      <c r="AF296" s="417"/>
      <c r="AG296" s="417"/>
      <c r="AH296" s="40"/>
      <c r="AI296" s="40"/>
      <c r="AJ296" s="40"/>
      <c r="AK296" s="40"/>
      <c r="AL296" s="40"/>
      <c r="AM296" s="40"/>
      <c r="AN296" s="40"/>
      <c r="AO296" s="40"/>
      <c r="AP296" s="40"/>
      <c r="AQ296" s="40"/>
      <c r="AR296" s="40"/>
      <c r="AS296" s="40"/>
      <c r="AT296" s="40"/>
    </row>
    <row r="297" spans="3:46" ht="18" customHeight="1">
      <c r="E297" s="417"/>
      <c r="P297" s="417"/>
      <c r="Q297" s="417"/>
      <c r="R297" s="417"/>
      <c r="S297" s="417"/>
      <c r="T297" s="417"/>
      <c r="U297" s="417"/>
      <c r="V297" s="417"/>
      <c r="W297" s="417"/>
      <c r="X297" s="417"/>
      <c r="Y297" s="417"/>
      <c r="Z297" s="417"/>
      <c r="AA297" s="417"/>
      <c r="AB297" s="417"/>
      <c r="AC297" s="417"/>
      <c r="AD297" s="417"/>
      <c r="AE297" s="417"/>
      <c r="AF297" s="417"/>
      <c r="AG297" s="417"/>
      <c r="AH297" s="40"/>
      <c r="AI297" s="40"/>
      <c r="AJ297" s="40"/>
      <c r="AK297" s="40"/>
      <c r="AL297" s="40"/>
      <c r="AM297" s="40"/>
      <c r="AN297" s="40"/>
      <c r="AO297" s="40"/>
      <c r="AP297" s="40"/>
      <c r="AQ297" s="40"/>
      <c r="AR297" s="40"/>
      <c r="AS297" s="40"/>
      <c r="AT297" s="40"/>
    </row>
    <row r="298" spans="3:46" ht="18" customHeight="1">
      <c r="E298" s="417"/>
      <c r="P298" s="417"/>
      <c r="Q298" s="417"/>
      <c r="R298" s="417"/>
      <c r="S298" s="417"/>
      <c r="T298" s="417"/>
      <c r="U298" s="417"/>
      <c r="V298" s="417"/>
      <c r="W298" s="417"/>
      <c r="X298" s="417"/>
      <c r="Y298" s="417"/>
      <c r="Z298" s="417"/>
      <c r="AA298" s="417"/>
      <c r="AB298" s="417"/>
      <c r="AC298" s="417"/>
      <c r="AD298" s="417"/>
      <c r="AE298" s="417"/>
      <c r="AF298" s="417"/>
      <c r="AG298" s="417"/>
      <c r="AH298" s="40"/>
      <c r="AI298" s="40"/>
      <c r="AJ298" s="40"/>
      <c r="AK298" s="40"/>
      <c r="AL298" s="40"/>
      <c r="AM298" s="40"/>
      <c r="AN298" s="40"/>
      <c r="AO298" s="40"/>
      <c r="AP298" s="40"/>
      <c r="AQ298" s="40"/>
      <c r="AR298" s="40"/>
      <c r="AS298" s="40"/>
      <c r="AT298" s="40"/>
    </row>
    <row r="299" spans="3:46" ht="18" customHeight="1">
      <c r="E299" s="417"/>
      <c r="P299" s="417"/>
      <c r="Q299" s="417"/>
      <c r="R299" s="417"/>
      <c r="S299" s="417"/>
      <c r="T299" s="417"/>
      <c r="U299" s="417"/>
      <c r="V299" s="417"/>
      <c r="W299" s="417"/>
      <c r="X299" s="417"/>
      <c r="Y299" s="417"/>
      <c r="Z299" s="417"/>
      <c r="AA299" s="417"/>
      <c r="AB299" s="417"/>
      <c r="AC299" s="417"/>
      <c r="AD299" s="417"/>
      <c r="AE299" s="417"/>
      <c r="AF299" s="417"/>
      <c r="AG299" s="417"/>
      <c r="AH299" s="40"/>
      <c r="AI299" s="40"/>
      <c r="AJ299" s="40"/>
      <c r="AK299" s="40"/>
      <c r="AL299" s="40"/>
      <c r="AM299" s="40"/>
      <c r="AN299" s="40"/>
      <c r="AO299" s="40"/>
      <c r="AP299" s="40"/>
      <c r="AQ299" s="40"/>
      <c r="AR299" s="40"/>
      <c r="AS299" s="40"/>
      <c r="AT299" s="40"/>
    </row>
    <row r="300" spans="3:46" ht="18" customHeight="1">
      <c r="E300" s="417"/>
      <c r="P300" s="417"/>
      <c r="Q300" s="417"/>
      <c r="R300" s="417"/>
      <c r="S300" s="417"/>
      <c r="T300" s="417"/>
      <c r="U300" s="417"/>
      <c r="V300" s="417"/>
      <c r="W300" s="417"/>
      <c r="X300" s="417"/>
      <c r="Y300" s="417"/>
      <c r="Z300" s="417"/>
      <c r="AA300" s="417"/>
      <c r="AB300" s="417"/>
      <c r="AC300" s="417"/>
      <c r="AD300" s="417"/>
      <c r="AE300" s="417"/>
      <c r="AF300" s="417"/>
      <c r="AG300" s="417"/>
      <c r="AH300" s="40"/>
      <c r="AI300" s="40"/>
      <c r="AJ300" s="40"/>
      <c r="AK300" s="40"/>
      <c r="AL300" s="40"/>
      <c r="AM300" s="40"/>
      <c r="AN300" s="40"/>
      <c r="AO300" s="40"/>
      <c r="AP300" s="40"/>
      <c r="AQ300" s="40"/>
      <c r="AR300" s="40"/>
      <c r="AS300" s="40"/>
      <c r="AT300" s="40"/>
    </row>
    <row r="301" spans="3:46" ht="18" customHeight="1">
      <c r="E301" s="417"/>
      <c r="P301" s="417"/>
      <c r="Q301" s="417"/>
      <c r="R301" s="417"/>
      <c r="S301" s="417"/>
      <c r="T301" s="417"/>
      <c r="U301" s="417"/>
      <c r="V301" s="417"/>
      <c r="W301" s="417"/>
      <c r="X301" s="417"/>
      <c r="Y301" s="417"/>
      <c r="Z301" s="417"/>
      <c r="AA301" s="417"/>
      <c r="AB301" s="417"/>
      <c r="AC301" s="417"/>
      <c r="AD301" s="417"/>
      <c r="AE301" s="417"/>
      <c r="AF301" s="417"/>
      <c r="AG301" s="417"/>
      <c r="AH301" s="40"/>
      <c r="AI301" s="40"/>
      <c r="AJ301" s="40"/>
      <c r="AK301" s="40"/>
      <c r="AL301" s="40"/>
      <c r="AM301" s="40"/>
      <c r="AN301" s="40"/>
      <c r="AO301" s="40"/>
      <c r="AP301" s="40"/>
      <c r="AQ301" s="40"/>
      <c r="AR301" s="40"/>
      <c r="AS301" s="40"/>
      <c r="AT301" s="40"/>
    </row>
    <row r="302" spans="3:46" ht="18" customHeight="1">
      <c r="E302" s="417"/>
      <c r="P302" s="417"/>
      <c r="Q302" s="417"/>
      <c r="R302" s="417"/>
      <c r="S302" s="417"/>
      <c r="T302" s="417"/>
      <c r="U302" s="417"/>
      <c r="V302" s="417"/>
      <c r="W302" s="417"/>
      <c r="X302" s="417"/>
      <c r="Y302" s="417"/>
      <c r="Z302" s="417"/>
      <c r="AA302" s="417"/>
      <c r="AB302" s="417"/>
      <c r="AC302" s="417"/>
      <c r="AD302" s="417"/>
      <c r="AE302" s="417"/>
      <c r="AF302" s="417"/>
      <c r="AG302" s="417"/>
      <c r="AH302" s="40"/>
      <c r="AI302" s="40"/>
      <c r="AJ302" s="40"/>
      <c r="AK302" s="40"/>
      <c r="AL302" s="40"/>
      <c r="AM302" s="40"/>
      <c r="AN302" s="40"/>
      <c r="AO302" s="40"/>
      <c r="AP302" s="40"/>
      <c r="AQ302" s="40"/>
      <c r="AR302" s="40"/>
      <c r="AS302" s="40"/>
      <c r="AT302" s="40"/>
    </row>
    <row r="303" spans="3:46" ht="18" customHeight="1">
      <c r="E303" s="417"/>
      <c r="P303" s="417"/>
      <c r="Q303" s="417"/>
      <c r="R303" s="417"/>
      <c r="S303" s="417"/>
      <c r="T303" s="417"/>
      <c r="U303" s="417"/>
      <c r="V303" s="417"/>
      <c r="W303" s="417"/>
      <c r="X303" s="417"/>
      <c r="Y303" s="417"/>
      <c r="Z303" s="417"/>
      <c r="AA303" s="417"/>
      <c r="AB303" s="417"/>
      <c r="AC303" s="417"/>
      <c r="AD303" s="417"/>
      <c r="AE303" s="417"/>
      <c r="AF303" s="417"/>
      <c r="AG303" s="417"/>
      <c r="AH303" s="40"/>
      <c r="AI303" s="40"/>
      <c r="AJ303" s="40"/>
      <c r="AK303" s="40"/>
      <c r="AL303" s="40"/>
      <c r="AM303" s="40"/>
      <c r="AN303" s="40"/>
      <c r="AO303" s="40"/>
      <c r="AP303" s="40"/>
      <c r="AQ303" s="40"/>
      <c r="AR303" s="40"/>
      <c r="AS303" s="40"/>
      <c r="AT303" s="40"/>
    </row>
    <row r="304" spans="3:46" ht="18" customHeight="1">
      <c r="D304" s="111"/>
      <c r="E304" s="417"/>
      <c r="P304" s="417"/>
      <c r="Q304" s="417"/>
      <c r="R304" s="417"/>
      <c r="S304" s="417"/>
      <c r="T304" s="417"/>
      <c r="U304" s="417"/>
      <c r="V304" s="417"/>
      <c r="W304" s="417"/>
      <c r="X304" s="417"/>
      <c r="Y304" s="417"/>
      <c r="Z304" s="417"/>
      <c r="AA304" s="417"/>
      <c r="AB304" s="417"/>
      <c r="AC304" s="417"/>
      <c r="AD304" s="417"/>
      <c r="AE304" s="417"/>
      <c r="AF304" s="417"/>
      <c r="AG304" s="417"/>
      <c r="AH304" s="40"/>
      <c r="AI304" s="40"/>
      <c r="AJ304" s="40"/>
      <c r="AK304" s="40"/>
      <c r="AL304" s="40"/>
      <c r="AM304" s="40"/>
      <c r="AN304" s="40"/>
      <c r="AO304" s="40"/>
      <c r="AP304" s="40"/>
      <c r="AQ304" s="40"/>
      <c r="AR304" s="40"/>
      <c r="AS304" s="40"/>
      <c r="AT304" s="40"/>
    </row>
    <row r="305" spans="4:46" ht="18" customHeight="1">
      <c r="D305" s="111"/>
      <c r="E305" s="417"/>
      <c r="P305" s="417"/>
      <c r="Q305" s="417"/>
      <c r="R305" s="417"/>
      <c r="S305" s="417"/>
      <c r="T305" s="417"/>
      <c r="U305" s="417"/>
      <c r="V305" s="417"/>
      <c r="W305" s="417"/>
      <c r="X305" s="417"/>
      <c r="Y305" s="417"/>
      <c r="Z305" s="417"/>
      <c r="AA305" s="417"/>
      <c r="AB305" s="417"/>
      <c r="AC305" s="417"/>
      <c r="AD305" s="417"/>
      <c r="AE305" s="417"/>
      <c r="AF305" s="417"/>
      <c r="AG305" s="417"/>
      <c r="AH305" s="40"/>
      <c r="AI305" s="40"/>
      <c r="AJ305" s="40"/>
      <c r="AK305" s="40"/>
      <c r="AL305" s="40"/>
      <c r="AM305" s="40"/>
      <c r="AN305" s="40"/>
      <c r="AO305" s="40"/>
      <c r="AP305" s="40"/>
      <c r="AQ305" s="40"/>
      <c r="AR305" s="40"/>
      <c r="AS305" s="40"/>
      <c r="AT305" s="40"/>
    </row>
    <row r="306" spans="4:46" ht="18" customHeight="1">
      <c r="D306" s="111"/>
      <c r="E306" s="417"/>
      <c r="P306" s="417"/>
      <c r="Q306" s="417"/>
      <c r="R306" s="417"/>
      <c r="S306" s="417"/>
      <c r="T306" s="417"/>
      <c r="U306" s="417"/>
      <c r="V306" s="417"/>
      <c r="W306" s="417"/>
      <c r="X306" s="417"/>
      <c r="Y306" s="417"/>
      <c r="Z306" s="417"/>
      <c r="AA306" s="417"/>
      <c r="AB306" s="417"/>
      <c r="AC306" s="417"/>
      <c r="AD306" s="417"/>
      <c r="AE306" s="417"/>
      <c r="AF306" s="417"/>
      <c r="AG306" s="417"/>
      <c r="AH306" s="40"/>
      <c r="AI306" s="40"/>
      <c r="AJ306" s="40"/>
      <c r="AK306" s="40"/>
      <c r="AL306" s="40"/>
      <c r="AM306" s="40"/>
      <c r="AN306" s="40"/>
      <c r="AO306" s="40"/>
      <c r="AP306" s="40"/>
      <c r="AQ306" s="40"/>
      <c r="AR306" s="40"/>
      <c r="AS306" s="40"/>
      <c r="AT306" s="40"/>
    </row>
    <row r="307" spans="4:46" ht="18" customHeight="1">
      <c r="D307" s="111"/>
      <c r="E307" s="417"/>
      <c r="P307" s="417"/>
      <c r="Q307" s="417"/>
      <c r="R307" s="417"/>
      <c r="S307" s="417"/>
      <c r="T307" s="417"/>
      <c r="U307" s="417"/>
      <c r="V307" s="417"/>
      <c r="W307" s="417"/>
      <c r="X307" s="417"/>
      <c r="Y307" s="417"/>
      <c r="Z307" s="417"/>
      <c r="AA307" s="417"/>
      <c r="AB307" s="417"/>
      <c r="AC307" s="417"/>
      <c r="AD307" s="417"/>
      <c r="AE307" s="417"/>
      <c r="AF307" s="417"/>
      <c r="AG307" s="417"/>
      <c r="AH307" s="40"/>
      <c r="AI307" s="40"/>
      <c r="AJ307" s="40"/>
      <c r="AK307" s="40"/>
      <c r="AL307" s="40"/>
      <c r="AM307" s="40"/>
      <c r="AN307" s="40"/>
      <c r="AO307" s="40"/>
      <c r="AP307" s="40"/>
      <c r="AQ307" s="40"/>
      <c r="AR307" s="40"/>
      <c r="AS307" s="40"/>
      <c r="AT307" s="40"/>
    </row>
    <row r="308" spans="4:46" ht="18" customHeight="1">
      <c r="D308" s="111"/>
      <c r="E308" s="417"/>
      <c r="P308" s="417"/>
      <c r="Q308" s="417"/>
      <c r="R308" s="417"/>
      <c r="S308" s="417"/>
      <c r="T308" s="417"/>
      <c r="U308" s="417"/>
      <c r="V308" s="417"/>
      <c r="W308" s="417"/>
      <c r="X308" s="417"/>
      <c r="Y308" s="417"/>
      <c r="Z308" s="417"/>
      <c r="AA308" s="417"/>
      <c r="AB308" s="417"/>
      <c r="AC308" s="417"/>
      <c r="AD308" s="417"/>
      <c r="AE308" s="417"/>
      <c r="AF308" s="417"/>
      <c r="AG308" s="417"/>
      <c r="AH308" s="40"/>
      <c r="AI308" s="40"/>
      <c r="AJ308" s="40"/>
      <c r="AK308" s="40"/>
      <c r="AL308" s="40"/>
      <c r="AM308" s="40"/>
      <c r="AN308" s="40"/>
      <c r="AO308" s="40"/>
      <c r="AP308" s="40"/>
      <c r="AQ308" s="40"/>
      <c r="AR308" s="40"/>
      <c r="AS308" s="40"/>
      <c r="AT308" s="40"/>
    </row>
    <row r="309" spans="4:46" ht="18" customHeight="1">
      <c r="D309" s="111"/>
      <c r="E309" s="417"/>
      <c r="P309" s="417"/>
      <c r="Q309" s="417"/>
      <c r="R309" s="417"/>
      <c r="S309" s="417"/>
      <c r="T309" s="417"/>
      <c r="U309" s="417"/>
      <c r="V309" s="417"/>
      <c r="W309" s="417"/>
      <c r="X309" s="417"/>
      <c r="Y309" s="417"/>
      <c r="Z309" s="417"/>
      <c r="AA309" s="417"/>
      <c r="AB309" s="417"/>
      <c r="AC309" s="417"/>
      <c r="AD309" s="417"/>
      <c r="AE309" s="417"/>
      <c r="AF309" s="417"/>
      <c r="AG309" s="417"/>
      <c r="AH309" s="40"/>
      <c r="AI309" s="40"/>
      <c r="AJ309" s="40"/>
      <c r="AK309" s="40"/>
      <c r="AL309" s="40"/>
      <c r="AM309" s="40"/>
      <c r="AN309" s="40"/>
      <c r="AO309" s="40"/>
      <c r="AP309" s="40"/>
      <c r="AQ309" s="40"/>
      <c r="AR309" s="40"/>
      <c r="AS309" s="40"/>
      <c r="AT309" s="40"/>
    </row>
    <row r="310" spans="4:46" ht="18" customHeight="1">
      <c r="D310" s="111"/>
      <c r="E310" s="417"/>
      <c r="P310" s="417"/>
      <c r="Q310" s="417"/>
      <c r="R310" s="417"/>
      <c r="S310" s="417"/>
      <c r="T310" s="417"/>
      <c r="U310" s="417"/>
      <c r="V310" s="417"/>
      <c r="W310" s="417"/>
      <c r="X310" s="417"/>
      <c r="Y310" s="417"/>
      <c r="Z310" s="417"/>
      <c r="AA310" s="417"/>
      <c r="AB310" s="417"/>
      <c r="AC310" s="417"/>
      <c r="AD310" s="417"/>
      <c r="AE310" s="417"/>
      <c r="AF310" s="417"/>
      <c r="AG310" s="417"/>
      <c r="AH310" s="40"/>
      <c r="AI310" s="40"/>
      <c r="AJ310" s="40"/>
      <c r="AK310" s="40"/>
      <c r="AL310" s="40"/>
      <c r="AM310" s="40"/>
      <c r="AN310" s="40"/>
      <c r="AO310" s="40"/>
      <c r="AP310" s="40"/>
      <c r="AQ310" s="40"/>
      <c r="AR310" s="40"/>
      <c r="AS310" s="40"/>
      <c r="AT310" s="40"/>
    </row>
    <row r="311" spans="4:46" ht="18" customHeight="1">
      <c r="D311" s="111"/>
      <c r="E311" s="417"/>
      <c r="P311" s="417"/>
      <c r="Q311" s="417"/>
      <c r="R311" s="417"/>
      <c r="S311" s="417"/>
      <c r="T311" s="417"/>
      <c r="U311" s="417"/>
      <c r="V311" s="417"/>
      <c r="W311" s="417"/>
      <c r="X311" s="417"/>
      <c r="Y311" s="417"/>
      <c r="Z311" s="417"/>
      <c r="AA311" s="417"/>
      <c r="AB311" s="417"/>
      <c r="AC311" s="417"/>
      <c r="AD311" s="417"/>
      <c r="AE311" s="417"/>
      <c r="AF311" s="417"/>
      <c r="AG311" s="417"/>
      <c r="AH311" s="40"/>
      <c r="AI311" s="40"/>
      <c r="AJ311" s="40"/>
      <c r="AK311" s="40"/>
      <c r="AL311" s="40"/>
      <c r="AM311" s="40"/>
      <c r="AN311" s="40"/>
      <c r="AO311" s="40"/>
      <c r="AP311" s="40"/>
      <c r="AQ311" s="40"/>
      <c r="AR311" s="40"/>
      <c r="AS311" s="40"/>
      <c r="AT311" s="40"/>
    </row>
    <row r="312" spans="4:46" ht="18" customHeight="1">
      <c r="D312" s="111"/>
      <c r="E312" s="417"/>
      <c r="P312" s="417"/>
      <c r="Q312" s="417"/>
      <c r="R312" s="417"/>
      <c r="S312" s="417"/>
      <c r="T312" s="417"/>
      <c r="U312" s="417"/>
      <c r="V312" s="417"/>
      <c r="W312" s="417"/>
      <c r="X312" s="417"/>
      <c r="Y312" s="417"/>
      <c r="Z312" s="417"/>
      <c r="AA312" s="417"/>
      <c r="AB312" s="417"/>
      <c r="AC312" s="417"/>
      <c r="AD312" s="417"/>
      <c r="AE312" s="417"/>
      <c r="AF312" s="417"/>
      <c r="AG312" s="417"/>
      <c r="AH312" s="40"/>
      <c r="AI312" s="40"/>
      <c r="AJ312" s="40"/>
      <c r="AK312" s="40"/>
      <c r="AL312" s="40"/>
      <c r="AM312" s="40"/>
      <c r="AN312" s="40"/>
      <c r="AO312" s="40"/>
      <c r="AP312" s="40"/>
      <c r="AQ312" s="40"/>
      <c r="AR312" s="40"/>
      <c r="AS312" s="40"/>
      <c r="AT312" s="40"/>
    </row>
    <row r="313" spans="4:46" ht="18" customHeight="1">
      <c r="D313" s="111"/>
      <c r="E313" s="417"/>
      <c r="P313" s="417"/>
      <c r="Q313" s="417"/>
      <c r="R313" s="417"/>
      <c r="S313" s="417"/>
      <c r="T313" s="417"/>
      <c r="U313" s="417"/>
      <c r="V313" s="417"/>
      <c r="W313" s="417"/>
      <c r="X313" s="417"/>
      <c r="Y313" s="417"/>
      <c r="Z313" s="417"/>
      <c r="AA313" s="417"/>
      <c r="AB313" s="417"/>
      <c r="AC313" s="417"/>
      <c r="AD313" s="417"/>
      <c r="AE313" s="417"/>
      <c r="AF313" s="417"/>
      <c r="AG313" s="417"/>
      <c r="AH313" s="40"/>
      <c r="AI313" s="40"/>
      <c r="AJ313" s="40"/>
      <c r="AK313" s="40"/>
      <c r="AL313" s="40"/>
      <c r="AM313" s="40"/>
      <c r="AN313" s="40"/>
      <c r="AO313" s="40"/>
      <c r="AP313" s="40"/>
      <c r="AQ313" s="40"/>
      <c r="AR313" s="40"/>
      <c r="AS313" s="40"/>
      <c r="AT313" s="40"/>
    </row>
    <row r="314" spans="4:46" ht="18" customHeight="1">
      <c r="D314" s="111"/>
      <c r="E314" s="417"/>
      <c r="P314" s="417"/>
      <c r="Q314" s="417"/>
      <c r="R314" s="417"/>
      <c r="S314" s="417"/>
      <c r="T314" s="417"/>
      <c r="U314" s="417"/>
      <c r="V314" s="417"/>
      <c r="W314" s="417"/>
      <c r="X314" s="417"/>
      <c r="Y314" s="417"/>
      <c r="Z314" s="417"/>
      <c r="AA314" s="417"/>
      <c r="AB314" s="417"/>
      <c r="AC314" s="417"/>
      <c r="AD314" s="417"/>
      <c r="AE314" s="417"/>
      <c r="AF314" s="417"/>
      <c r="AG314" s="417"/>
      <c r="AH314" s="40"/>
      <c r="AI314" s="40"/>
      <c r="AJ314" s="40"/>
      <c r="AK314" s="40"/>
      <c r="AL314" s="40"/>
      <c r="AM314" s="40"/>
      <c r="AN314" s="40"/>
      <c r="AO314" s="40"/>
      <c r="AP314" s="40"/>
      <c r="AQ314" s="40"/>
      <c r="AR314" s="40"/>
      <c r="AS314" s="40"/>
      <c r="AT314" s="40"/>
    </row>
    <row r="315" spans="4:46" ht="18" customHeight="1">
      <c r="D315" s="111"/>
      <c r="E315" s="417"/>
      <c r="P315" s="417"/>
      <c r="Q315" s="417"/>
      <c r="R315" s="417"/>
      <c r="S315" s="417"/>
      <c r="T315" s="417"/>
      <c r="U315" s="417"/>
      <c r="V315" s="417"/>
      <c r="W315" s="417"/>
      <c r="X315" s="417"/>
      <c r="Y315" s="417"/>
      <c r="Z315" s="417"/>
      <c r="AA315" s="417"/>
      <c r="AB315" s="417"/>
      <c r="AC315" s="417"/>
      <c r="AD315" s="417"/>
      <c r="AE315" s="417"/>
      <c r="AF315" s="417"/>
      <c r="AG315" s="417"/>
      <c r="AH315" s="40"/>
      <c r="AI315" s="40"/>
      <c r="AJ315" s="40"/>
      <c r="AK315" s="40"/>
      <c r="AL315" s="40"/>
      <c r="AM315" s="40"/>
      <c r="AN315" s="40"/>
      <c r="AO315" s="40"/>
      <c r="AP315" s="40"/>
      <c r="AQ315" s="40"/>
      <c r="AR315" s="40"/>
      <c r="AS315" s="40"/>
      <c r="AT315" s="40"/>
    </row>
    <row r="316" spans="4:46" ht="18" customHeight="1">
      <c r="D316" s="111"/>
      <c r="E316" s="417"/>
      <c r="P316" s="417"/>
      <c r="Q316" s="417"/>
      <c r="R316" s="417"/>
      <c r="S316" s="417"/>
      <c r="T316" s="417"/>
      <c r="U316" s="417"/>
      <c r="V316" s="417"/>
      <c r="W316" s="417"/>
      <c r="X316" s="417"/>
      <c r="Y316" s="417"/>
      <c r="Z316" s="417"/>
      <c r="AA316" s="417"/>
      <c r="AB316" s="417"/>
      <c r="AC316" s="417"/>
      <c r="AD316" s="417"/>
      <c r="AE316" s="417"/>
      <c r="AF316" s="417"/>
      <c r="AG316" s="417"/>
      <c r="AH316" s="40"/>
      <c r="AI316" s="40"/>
      <c r="AJ316" s="40"/>
      <c r="AK316" s="40"/>
      <c r="AL316" s="40"/>
      <c r="AM316" s="40"/>
      <c r="AN316" s="40"/>
      <c r="AO316" s="40"/>
      <c r="AP316" s="40"/>
      <c r="AQ316" s="40"/>
      <c r="AR316" s="40"/>
      <c r="AS316" s="40"/>
      <c r="AT316" s="40"/>
    </row>
    <row r="317" spans="4:46" ht="18" customHeight="1">
      <c r="D317" s="111"/>
      <c r="E317" s="417"/>
      <c r="P317" s="417"/>
      <c r="Q317" s="417"/>
      <c r="R317" s="417"/>
      <c r="S317" s="417"/>
      <c r="T317" s="417"/>
      <c r="U317" s="417"/>
      <c r="V317" s="417"/>
      <c r="W317" s="417"/>
      <c r="X317" s="417"/>
      <c r="Y317" s="417"/>
      <c r="Z317" s="417"/>
      <c r="AA317" s="417"/>
      <c r="AB317" s="417"/>
      <c r="AC317" s="417"/>
      <c r="AD317" s="417"/>
      <c r="AE317" s="417"/>
      <c r="AF317" s="417"/>
      <c r="AG317" s="417"/>
      <c r="AH317" s="40"/>
      <c r="AI317" s="40"/>
      <c r="AJ317" s="40"/>
      <c r="AK317" s="40"/>
      <c r="AL317" s="40"/>
      <c r="AM317" s="40"/>
      <c r="AN317" s="40"/>
      <c r="AO317" s="40"/>
      <c r="AP317" s="40"/>
      <c r="AQ317" s="40"/>
      <c r="AR317" s="40"/>
      <c r="AS317" s="40"/>
      <c r="AT317" s="40"/>
    </row>
    <row r="318" spans="4:46" ht="18" customHeight="1">
      <c r="D318" s="111"/>
      <c r="E318" s="417"/>
      <c r="P318" s="417"/>
      <c r="Q318" s="417"/>
      <c r="R318" s="417"/>
      <c r="S318" s="417"/>
      <c r="T318" s="417"/>
      <c r="U318" s="417"/>
      <c r="V318" s="417"/>
      <c r="W318" s="417"/>
      <c r="X318" s="417"/>
      <c r="Y318" s="417"/>
      <c r="Z318" s="417"/>
      <c r="AA318" s="417"/>
      <c r="AB318" s="417"/>
      <c r="AC318" s="417"/>
      <c r="AD318" s="417"/>
      <c r="AE318" s="417"/>
      <c r="AF318" s="417"/>
      <c r="AG318" s="417"/>
      <c r="AH318" s="40"/>
      <c r="AI318" s="40"/>
      <c r="AJ318" s="40"/>
      <c r="AK318" s="40"/>
      <c r="AL318" s="40"/>
      <c r="AM318" s="40"/>
      <c r="AN318" s="40"/>
      <c r="AO318" s="40"/>
      <c r="AP318" s="40"/>
      <c r="AQ318" s="40"/>
      <c r="AR318" s="40"/>
      <c r="AS318" s="40"/>
      <c r="AT318" s="40"/>
    </row>
    <row r="319" spans="4:46" ht="18" customHeight="1">
      <c r="D319" s="111"/>
      <c r="E319" s="417"/>
      <c r="P319" s="417"/>
      <c r="Q319" s="417"/>
      <c r="R319" s="417"/>
      <c r="S319" s="417"/>
      <c r="T319" s="417"/>
      <c r="U319" s="417"/>
      <c r="V319" s="417"/>
      <c r="W319" s="417"/>
      <c r="X319" s="417"/>
      <c r="Y319" s="417"/>
      <c r="Z319" s="417"/>
      <c r="AA319" s="417"/>
      <c r="AB319" s="417"/>
      <c r="AC319" s="417"/>
      <c r="AD319" s="417"/>
      <c r="AE319" s="417"/>
      <c r="AF319" s="417"/>
      <c r="AG319" s="417"/>
      <c r="AH319" s="40"/>
      <c r="AI319" s="40"/>
      <c r="AJ319" s="40"/>
      <c r="AK319" s="40"/>
      <c r="AL319" s="40"/>
      <c r="AM319" s="40"/>
      <c r="AN319" s="40"/>
      <c r="AO319" s="40"/>
      <c r="AP319" s="40"/>
      <c r="AQ319" s="40"/>
      <c r="AR319" s="40"/>
      <c r="AS319" s="40"/>
      <c r="AT319" s="40"/>
    </row>
    <row r="320" spans="4:46" ht="18" customHeight="1">
      <c r="D320" s="111"/>
      <c r="E320" s="417"/>
      <c r="P320" s="417"/>
      <c r="Q320" s="417"/>
      <c r="R320" s="417"/>
      <c r="S320" s="417"/>
      <c r="T320" s="417"/>
      <c r="U320" s="417"/>
      <c r="V320" s="417"/>
      <c r="W320" s="417"/>
      <c r="X320" s="417"/>
      <c r="Y320" s="417"/>
      <c r="Z320" s="417"/>
      <c r="AA320" s="417"/>
      <c r="AB320" s="417"/>
      <c r="AC320" s="417"/>
      <c r="AD320" s="417"/>
      <c r="AE320" s="417"/>
      <c r="AF320" s="417"/>
      <c r="AG320" s="417"/>
      <c r="AH320" s="40"/>
      <c r="AI320" s="40"/>
      <c r="AJ320" s="40"/>
      <c r="AK320" s="40"/>
      <c r="AL320" s="40"/>
      <c r="AM320" s="40"/>
      <c r="AN320" s="40"/>
      <c r="AO320" s="40"/>
      <c r="AP320" s="40"/>
      <c r="AQ320" s="40"/>
      <c r="AR320" s="40"/>
      <c r="AS320" s="40"/>
      <c r="AT320" s="40"/>
    </row>
    <row r="321" spans="4:46" ht="18" customHeight="1">
      <c r="D321" s="111"/>
      <c r="E321" s="417"/>
      <c r="P321" s="417"/>
      <c r="Q321" s="417"/>
      <c r="R321" s="417"/>
      <c r="S321" s="417"/>
      <c r="T321" s="417"/>
      <c r="U321" s="417"/>
      <c r="V321" s="417"/>
      <c r="W321" s="417"/>
      <c r="X321" s="417"/>
      <c r="Y321" s="417"/>
      <c r="Z321" s="417"/>
      <c r="AA321" s="417"/>
      <c r="AB321" s="417"/>
      <c r="AC321" s="417"/>
      <c r="AD321" s="417"/>
      <c r="AE321" s="417"/>
      <c r="AF321" s="417"/>
      <c r="AG321" s="417"/>
      <c r="AH321" s="40"/>
      <c r="AI321" s="40"/>
      <c r="AJ321" s="40"/>
      <c r="AK321" s="40"/>
      <c r="AL321" s="40"/>
      <c r="AM321" s="40"/>
      <c r="AN321" s="40"/>
      <c r="AO321" s="40"/>
      <c r="AP321" s="40"/>
      <c r="AQ321" s="40"/>
      <c r="AR321" s="40"/>
      <c r="AS321" s="40"/>
      <c r="AT321" s="40"/>
    </row>
    <row r="322" spans="4:46" ht="18" customHeight="1">
      <c r="D322" s="111"/>
      <c r="E322" s="417"/>
      <c r="P322" s="417"/>
      <c r="Q322" s="417"/>
      <c r="R322" s="417"/>
      <c r="S322" s="417"/>
      <c r="T322" s="417"/>
      <c r="U322" s="417"/>
      <c r="V322" s="417"/>
      <c r="W322" s="417"/>
      <c r="X322" s="417"/>
      <c r="Y322" s="417"/>
      <c r="Z322" s="417"/>
      <c r="AA322" s="417"/>
      <c r="AB322" s="417"/>
      <c r="AC322" s="417"/>
      <c r="AD322" s="417"/>
      <c r="AE322" s="417"/>
      <c r="AF322" s="417"/>
      <c r="AG322" s="417"/>
      <c r="AH322" s="40"/>
      <c r="AI322" s="40"/>
      <c r="AJ322" s="40"/>
      <c r="AK322" s="40"/>
      <c r="AL322" s="40"/>
      <c r="AM322" s="40"/>
      <c r="AN322" s="40"/>
      <c r="AO322" s="40"/>
      <c r="AP322" s="40"/>
      <c r="AQ322" s="40"/>
      <c r="AR322" s="40"/>
      <c r="AS322" s="40"/>
      <c r="AT322" s="40"/>
    </row>
    <row r="323" spans="4:46" ht="18" customHeight="1">
      <c r="D323" s="111"/>
      <c r="E323" s="417"/>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row>
    <row r="324" spans="4:46" ht="18" customHeight="1">
      <c r="D324" s="111"/>
      <c r="E324" s="417"/>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row>
    <row r="325" spans="4:46" ht="18" customHeight="1">
      <c r="D325" s="111"/>
      <c r="E325" s="417"/>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c r="AQ325" s="40"/>
      <c r="AR325" s="40"/>
      <c r="AS325" s="40"/>
      <c r="AT325" s="40"/>
    </row>
    <row r="326" spans="4:46" ht="18" customHeight="1">
      <c r="D326" s="111"/>
      <c r="E326" s="417"/>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c r="AQ326" s="40"/>
      <c r="AR326" s="40"/>
      <c r="AS326" s="40"/>
      <c r="AT326" s="40"/>
    </row>
    <row r="327" spans="4:46" ht="18" customHeight="1">
      <c r="D327" s="111"/>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c r="AQ327" s="40"/>
      <c r="AR327" s="40"/>
      <c r="AS327" s="40"/>
      <c r="AT327" s="40"/>
    </row>
    <row r="328" spans="4:46" ht="18" customHeight="1">
      <c r="D328" s="111"/>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row>
    <row r="329" spans="4:46" ht="18" customHeight="1">
      <c r="D329" s="111"/>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row>
    <row r="330" spans="4:46" ht="18" customHeight="1">
      <c r="D330" s="111"/>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c r="AQ330" s="40"/>
      <c r="AR330" s="40"/>
      <c r="AS330" s="40"/>
      <c r="AT330" s="40"/>
    </row>
    <row r="331" spans="4:46" ht="18" customHeight="1">
      <c r="D331" s="111"/>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c r="AQ331" s="40"/>
      <c r="AR331" s="40"/>
      <c r="AS331" s="40"/>
      <c r="AT331" s="40"/>
    </row>
    <row r="332" spans="4:46" ht="18" customHeight="1">
      <c r="D332" s="111"/>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c r="AQ332" s="40"/>
      <c r="AR332" s="40"/>
      <c r="AS332" s="40"/>
      <c r="AT332" s="40"/>
    </row>
    <row r="333" spans="4:46" ht="18" customHeight="1">
      <c r="D333" s="111"/>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row>
    <row r="334" spans="4:46" ht="18" customHeight="1">
      <c r="D334" s="111"/>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row>
    <row r="335" spans="4:46" ht="18" customHeight="1">
      <c r="D335" s="111"/>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c r="AQ335" s="40"/>
      <c r="AR335" s="40"/>
      <c r="AS335" s="40"/>
      <c r="AT335" s="40"/>
    </row>
    <row r="336" spans="4:46" ht="18" customHeight="1">
      <c r="D336" s="111"/>
      <c r="E336" s="111"/>
      <c r="F336" s="111"/>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c r="AQ336" s="40"/>
      <c r="AR336" s="40"/>
      <c r="AS336" s="40"/>
      <c r="AT336" s="40"/>
    </row>
    <row r="337" spans="4:46" ht="18" customHeight="1">
      <c r="D337" s="111"/>
      <c r="E337" s="111"/>
      <c r="F337" s="111"/>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c r="AQ337" s="40"/>
      <c r="AR337" s="40"/>
      <c r="AS337" s="40"/>
      <c r="AT337" s="40"/>
    </row>
    <row r="338" spans="4:46" ht="18" customHeight="1">
      <c r="D338" s="111"/>
      <c r="E338" s="111"/>
      <c r="F338" s="111"/>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row>
    <row r="339" spans="4:46" ht="18" customHeight="1">
      <c r="D339" s="111"/>
      <c r="E339" s="111"/>
      <c r="F339" s="111"/>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row>
    <row r="340" spans="4:46" ht="18" customHeight="1">
      <c r="D340" s="111"/>
      <c r="E340" s="111"/>
      <c r="F340" s="111"/>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c r="AQ340" s="40"/>
      <c r="AR340" s="40"/>
      <c r="AS340" s="40"/>
      <c r="AT340" s="40"/>
    </row>
    <row r="341" spans="4:46" ht="18" customHeight="1">
      <c r="D341" s="111"/>
      <c r="E341" s="111"/>
      <c r="F341" s="111"/>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c r="AQ341" s="40"/>
      <c r="AR341" s="40"/>
      <c r="AS341" s="40"/>
      <c r="AT341" s="40"/>
    </row>
    <row r="342" spans="4:46" ht="18" customHeight="1">
      <c r="D342" s="111"/>
      <c r="E342" s="111"/>
      <c r="F342" s="111"/>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c r="AQ342" s="40"/>
      <c r="AR342" s="40"/>
      <c r="AS342" s="40"/>
      <c r="AT342" s="40"/>
    </row>
    <row r="343" spans="4:46" ht="18" customHeight="1">
      <c r="D343" s="111"/>
      <c r="E343" s="111"/>
      <c r="F343" s="111"/>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row>
    <row r="344" spans="4:46" ht="18" customHeight="1">
      <c r="D344" s="111"/>
      <c r="E344" s="111"/>
      <c r="F344" s="111"/>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row>
    <row r="345" spans="4:46" ht="18" customHeight="1">
      <c r="D345" s="111"/>
      <c r="E345" s="111"/>
      <c r="F345" s="111"/>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c r="AQ345" s="40"/>
      <c r="AR345" s="40"/>
      <c r="AS345" s="40"/>
      <c r="AT345" s="40"/>
    </row>
    <row r="346" spans="4:46" ht="18" customHeight="1">
      <c r="D346" s="111"/>
      <c r="E346" s="111"/>
      <c r="F346" s="111"/>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c r="AQ346" s="40"/>
      <c r="AR346" s="40"/>
      <c r="AS346" s="40"/>
      <c r="AT346" s="40"/>
    </row>
    <row r="347" spans="4:46" ht="18" customHeight="1">
      <c r="D347" s="111"/>
      <c r="E347" s="111"/>
      <c r="F347" s="111"/>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c r="AQ347" s="40"/>
      <c r="AR347" s="40"/>
      <c r="AS347" s="40"/>
      <c r="AT347" s="40"/>
    </row>
    <row r="348" spans="4:46" ht="18" customHeight="1">
      <c r="D348" s="111"/>
      <c r="E348" s="111"/>
      <c r="F348" s="111"/>
      <c r="P348" s="40"/>
      <c r="Q348" s="40"/>
      <c r="R348" s="40"/>
      <c r="S348" s="40"/>
      <c r="T348" s="40"/>
      <c r="U348" s="40"/>
      <c r="V348" s="40"/>
      <c r="W348" s="40"/>
      <c r="X348" s="40"/>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row>
    <row r="349" spans="4:46" ht="18" customHeight="1">
      <c r="D349" s="111"/>
      <c r="E349" s="111"/>
      <c r="F349" s="111"/>
      <c r="P349" s="40"/>
      <c r="Q349" s="40"/>
      <c r="R349" s="40"/>
      <c r="S349" s="40"/>
      <c r="T349" s="40"/>
      <c r="U349" s="40"/>
      <c r="V349" s="40"/>
      <c r="W349" s="40"/>
      <c r="X349" s="40"/>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row>
    <row r="350" spans="4:46" ht="18" customHeight="1">
      <c r="D350" s="111"/>
      <c r="E350" s="111"/>
      <c r="F350" s="111"/>
      <c r="P350" s="40"/>
      <c r="Q350" s="40"/>
      <c r="R350" s="40"/>
      <c r="S350" s="40"/>
      <c r="T350" s="40"/>
      <c r="U350" s="40"/>
      <c r="V350" s="40"/>
      <c r="W350" s="40"/>
      <c r="X350" s="40"/>
      <c r="Y350" s="40"/>
      <c r="Z350" s="40"/>
      <c r="AA350" s="40"/>
      <c r="AB350" s="40"/>
      <c r="AC350" s="40"/>
      <c r="AD350" s="40"/>
      <c r="AE350" s="40"/>
      <c r="AF350" s="40"/>
      <c r="AG350" s="40"/>
      <c r="AH350" s="40"/>
      <c r="AI350" s="40"/>
      <c r="AJ350" s="40"/>
      <c r="AK350" s="40"/>
      <c r="AL350" s="40"/>
      <c r="AM350" s="40"/>
      <c r="AN350" s="40"/>
      <c r="AO350" s="40"/>
      <c r="AP350" s="40"/>
      <c r="AQ350" s="40"/>
      <c r="AR350" s="40"/>
      <c r="AS350" s="40"/>
      <c r="AT350" s="40"/>
    </row>
    <row r="351" spans="4:46" ht="18" customHeight="1">
      <c r="D351" s="111"/>
      <c r="E351" s="111"/>
      <c r="F351" s="111"/>
      <c r="P351" s="40"/>
      <c r="Q351" s="40"/>
      <c r="R351" s="40"/>
      <c r="S351" s="40"/>
      <c r="T351" s="40"/>
      <c r="U351" s="40"/>
      <c r="V351" s="40"/>
      <c r="W351" s="40"/>
      <c r="X351" s="40"/>
      <c r="Y351" s="40"/>
      <c r="Z351" s="40"/>
      <c r="AA351" s="40"/>
      <c r="AB351" s="40"/>
      <c r="AC351" s="40"/>
      <c r="AD351" s="40"/>
      <c r="AE351" s="40"/>
      <c r="AF351" s="40"/>
      <c r="AG351" s="40"/>
      <c r="AH351" s="40"/>
      <c r="AI351" s="40"/>
      <c r="AJ351" s="40"/>
      <c r="AK351" s="40"/>
      <c r="AL351" s="40"/>
      <c r="AM351" s="40"/>
      <c r="AN351" s="40"/>
      <c r="AO351" s="40"/>
      <c r="AP351" s="40"/>
      <c r="AQ351" s="40"/>
      <c r="AR351" s="40"/>
      <c r="AS351" s="40"/>
      <c r="AT351" s="40"/>
    </row>
    <row r="352" spans="4:46" ht="18" customHeight="1">
      <c r="D352" s="111"/>
      <c r="E352" s="111"/>
      <c r="F352" s="111"/>
      <c r="P352" s="40"/>
      <c r="Q352" s="40"/>
      <c r="R352" s="40"/>
      <c r="S352" s="40"/>
      <c r="T352" s="40"/>
      <c r="U352" s="40"/>
      <c r="V352" s="40"/>
      <c r="W352" s="40"/>
      <c r="X352" s="40"/>
      <c r="Y352" s="40"/>
      <c r="Z352" s="40"/>
      <c r="AA352" s="40"/>
      <c r="AB352" s="40"/>
      <c r="AC352" s="40"/>
      <c r="AD352" s="40"/>
      <c r="AE352" s="40"/>
      <c r="AF352" s="40"/>
      <c r="AG352" s="40"/>
      <c r="AH352" s="40"/>
      <c r="AI352" s="40"/>
      <c r="AJ352" s="40"/>
      <c r="AK352" s="40"/>
      <c r="AL352" s="40"/>
      <c r="AM352" s="40"/>
      <c r="AN352" s="40"/>
      <c r="AO352" s="40"/>
      <c r="AP352" s="40"/>
      <c r="AQ352" s="40"/>
      <c r="AR352" s="40"/>
      <c r="AS352" s="40"/>
      <c r="AT352" s="40"/>
    </row>
    <row r="353" spans="4:46" ht="18" customHeight="1">
      <c r="D353" s="111"/>
      <c r="E353" s="111"/>
      <c r="F353" s="111"/>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row>
    <row r="354" spans="4:46" ht="18" customHeight="1">
      <c r="D354" s="111"/>
      <c r="E354" s="111"/>
      <c r="F354" s="111"/>
      <c r="P354" s="40"/>
      <c r="Q354" s="40"/>
      <c r="R354" s="40"/>
      <c r="S354" s="40"/>
      <c r="T354" s="40"/>
      <c r="U354" s="40"/>
      <c r="V354" s="40"/>
      <c r="W354" s="40"/>
      <c r="X354" s="40"/>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row>
    <row r="355" spans="4:46" ht="18" customHeight="1">
      <c r="D355" s="111"/>
      <c r="E355" s="111"/>
      <c r="F355" s="111"/>
      <c r="P355" s="40"/>
      <c r="Q355" s="40"/>
      <c r="R355" s="40"/>
      <c r="S355" s="40"/>
      <c r="T355" s="40"/>
      <c r="U355" s="40"/>
      <c r="V355" s="40"/>
      <c r="W355" s="40"/>
      <c r="X355" s="40"/>
      <c r="Y355" s="40"/>
      <c r="Z355" s="40"/>
      <c r="AA355" s="40"/>
      <c r="AB355" s="40"/>
      <c r="AC355" s="40"/>
      <c r="AD355" s="40"/>
      <c r="AE355" s="40"/>
      <c r="AF355" s="40"/>
      <c r="AG355" s="40"/>
      <c r="AH355" s="40"/>
      <c r="AI355" s="40"/>
      <c r="AJ355" s="40"/>
      <c r="AK355" s="40"/>
      <c r="AL355" s="40"/>
      <c r="AM355" s="40"/>
      <c r="AN355" s="40"/>
      <c r="AO355" s="40"/>
      <c r="AP355" s="40"/>
      <c r="AQ355" s="40"/>
      <c r="AR355" s="40"/>
      <c r="AS355" s="40"/>
      <c r="AT355" s="40"/>
    </row>
    <row r="356" spans="4:46" ht="18" customHeight="1">
      <c r="D356" s="111"/>
      <c r="E356" s="111"/>
      <c r="F356" s="111"/>
      <c r="P356" s="40"/>
      <c r="Q356" s="40"/>
      <c r="R356" s="40"/>
      <c r="S356" s="40"/>
      <c r="T356" s="40"/>
      <c r="U356" s="40"/>
      <c r="V356" s="40"/>
      <c r="W356" s="40"/>
      <c r="X356" s="40"/>
      <c r="Y356" s="40"/>
      <c r="Z356" s="40"/>
      <c r="AA356" s="40"/>
      <c r="AB356" s="40"/>
      <c r="AC356" s="40"/>
      <c r="AD356" s="40"/>
      <c r="AE356" s="40"/>
      <c r="AF356" s="40"/>
      <c r="AG356" s="40"/>
      <c r="AH356" s="40"/>
      <c r="AI356" s="40"/>
      <c r="AJ356" s="40"/>
      <c r="AK356" s="40"/>
      <c r="AL356" s="40"/>
      <c r="AM356" s="40"/>
      <c r="AN356" s="40"/>
      <c r="AO356" s="40"/>
      <c r="AP356" s="40"/>
      <c r="AQ356" s="40"/>
      <c r="AR356" s="40"/>
      <c r="AS356" s="40"/>
      <c r="AT356" s="40"/>
    </row>
    <row r="357" spans="4:46" ht="18" customHeight="1">
      <c r="D357" s="111"/>
      <c r="E357" s="111"/>
      <c r="F357" s="111"/>
      <c r="P357" s="40"/>
      <c r="Q357" s="40"/>
      <c r="R357" s="40"/>
      <c r="S357" s="40"/>
      <c r="T357" s="40"/>
      <c r="U357" s="40"/>
      <c r="V357" s="40"/>
      <c r="W357" s="40"/>
      <c r="X357" s="40"/>
      <c r="Y357" s="40"/>
      <c r="Z357" s="40"/>
      <c r="AA357" s="40"/>
      <c r="AB357" s="40"/>
      <c r="AC357" s="40"/>
      <c r="AD357" s="40"/>
      <c r="AE357" s="40"/>
      <c r="AF357" s="40"/>
      <c r="AG357" s="40"/>
      <c r="AH357" s="40"/>
      <c r="AI357" s="40"/>
      <c r="AJ357" s="40"/>
      <c r="AK357" s="40"/>
      <c r="AL357" s="40"/>
      <c r="AM357" s="40"/>
      <c r="AN357" s="40"/>
      <c r="AO357" s="40"/>
      <c r="AP357" s="40"/>
      <c r="AQ357" s="40"/>
      <c r="AR357" s="40"/>
      <c r="AS357" s="40"/>
      <c r="AT357" s="40"/>
    </row>
    <row r="358" spans="4:46" ht="18" customHeight="1">
      <c r="D358" s="111"/>
      <c r="E358" s="111"/>
      <c r="F358" s="111"/>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row>
    <row r="359" spans="4:46" ht="18" customHeight="1">
      <c r="D359" s="111"/>
      <c r="E359" s="111"/>
      <c r="F359" s="111"/>
      <c r="P359" s="40"/>
      <c r="Q359" s="40"/>
      <c r="R359" s="40"/>
      <c r="S359" s="40"/>
      <c r="T359" s="40"/>
      <c r="U359" s="40"/>
      <c r="V359" s="40"/>
      <c r="W359" s="40"/>
      <c r="X359" s="40"/>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row>
    <row r="360" spans="4:46" ht="18" customHeight="1">
      <c r="D360" s="111"/>
      <c r="E360" s="111"/>
      <c r="F360" s="111"/>
      <c r="P360" s="40"/>
      <c r="Q360" s="40"/>
      <c r="R360" s="40"/>
      <c r="S360" s="40"/>
      <c r="T360" s="40"/>
      <c r="U360" s="40"/>
      <c r="V360" s="40"/>
      <c r="W360" s="40"/>
      <c r="X360" s="40"/>
      <c r="Y360" s="40"/>
      <c r="Z360" s="40"/>
      <c r="AA360" s="40"/>
      <c r="AB360" s="40"/>
      <c r="AC360" s="40"/>
      <c r="AD360" s="40"/>
      <c r="AE360" s="40"/>
      <c r="AF360" s="40"/>
      <c r="AG360" s="40"/>
      <c r="AH360" s="40"/>
      <c r="AI360" s="40"/>
      <c r="AJ360" s="40"/>
      <c r="AK360" s="40"/>
      <c r="AL360" s="40"/>
      <c r="AM360" s="40"/>
      <c r="AN360" s="40"/>
      <c r="AO360" s="40"/>
      <c r="AP360" s="40"/>
      <c r="AQ360" s="40"/>
      <c r="AR360" s="40"/>
      <c r="AS360" s="40"/>
      <c r="AT360" s="40"/>
    </row>
    <row r="361" spans="4:46" ht="18" customHeight="1">
      <c r="D361" s="111"/>
      <c r="E361" s="111"/>
      <c r="F361" s="111"/>
      <c r="P361" s="40"/>
      <c r="Q361" s="40"/>
      <c r="R361" s="40"/>
      <c r="S361" s="40"/>
      <c r="T361" s="40"/>
      <c r="U361" s="40"/>
      <c r="V361" s="40"/>
      <c r="W361" s="40"/>
      <c r="X361" s="40"/>
      <c r="Y361" s="40"/>
      <c r="Z361" s="40"/>
      <c r="AA361" s="40"/>
      <c r="AB361" s="40"/>
      <c r="AC361" s="40"/>
      <c r="AD361" s="40"/>
      <c r="AE361" s="40"/>
      <c r="AF361" s="40"/>
      <c r="AG361" s="40"/>
      <c r="AH361" s="40"/>
      <c r="AI361" s="40"/>
      <c r="AJ361" s="40"/>
      <c r="AK361" s="40"/>
      <c r="AL361" s="40"/>
      <c r="AM361" s="40"/>
      <c r="AN361" s="40"/>
      <c r="AO361" s="40"/>
      <c r="AP361" s="40"/>
      <c r="AQ361" s="40"/>
      <c r="AR361" s="40"/>
      <c r="AS361" s="40"/>
      <c r="AT361" s="40"/>
    </row>
    <row r="362" spans="4:46" ht="18" customHeight="1">
      <c r="D362" s="111"/>
      <c r="E362" s="111"/>
      <c r="F362" s="111"/>
      <c r="P362" s="40"/>
      <c r="Q362" s="40"/>
      <c r="R362" s="40"/>
      <c r="S362" s="40"/>
      <c r="T362" s="40"/>
      <c r="U362" s="40"/>
      <c r="V362" s="40"/>
      <c r="W362" s="40"/>
      <c r="X362" s="40"/>
      <c r="Y362" s="40"/>
      <c r="Z362" s="40"/>
      <c r="AA362" s="40"/>
      <c r="AB362" s="40"/>
      <c r="AC362" s="40"/>
      <c r="AD362" s="40"/>
      <c r="AE362" s="40"/>
      <c r="AF362" s="40"/>
      <c r="AG362" s="40"/>
      <c r="AH362" s="40"/>
      <c r="AI362" s="40"/>
      <c r="AJ362" s="40"/>
      <c r="AK362" s="40"/>
      <c r="AL362" s="40"/>
      <c r="AM362" s="40"/>
      <c r="AN362" s="40"/>
      <c r="AO362" s="40"/>
      <c r="AP362" s="40"/>
      <c r="AQ362" s="40"/>
      <c r="AR362" s="40"/>
      <c r="AS362" s="40"/>
      <c r="AT362" s="40"/>
    </row>
    <row r="363" spans="4:46" ht="18" customHeight="1">
      <c r="D363" s="111"/>
      <c r="E363" s="111"/>
      <c r="F363" s="111"/>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row>
    <row r="364" spans="4:46" ht="18" customHeight="1">
      <c r="D364" s="111"/>
      <c r="E364" s="111"/>
      <c r="F364" s="111"/>
      <c r="P364" s="40"/>
      <c r="Q364" s="40"/>
      <c r="R364" s="40"/>
      <c r="S364" s="40"/>
      <c r="T364" s="40"/>
      <c r="U364" s="40"/>
      <c r="V364" s="40"/>
      <c r="W364" s="40"/>
      <c r="X364" s="40"/>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row>
    <row r="365" spans="4:46" ht="18" customHeight="1">
      <c r="D365" s="111"/>
      <c r="E365" s="111"/>
      <c r="F365" s="111"/>
      <c r="P365" s="40"/>
      <c r="Q365" s="40"/>
      <c r="R365" s="40"/>
      <c r="S365" s="40"/>
      <c r="T365" s="40"/>
      <c r="U365" s="40"/>
      <c r="V365" s="40"/>
      <c r="W365" s="40"/>
      <c r="X365" s="40"/>
      <c r="Y365" s="40"/>
      <c r="Z365" s="40"/>
      <c r="AA365" s="40"/>
      <c r="AB365" s="40"/>
      <c r="AC365" s="40"/>
      <c r="AD365" s="40"/>
      <c r="AE365" s="40"/>
      <c r="AF365" s="40"/>
      <c r="AG365" s="40"/>
      <c r="AH365" s="40"/>
      <c r="AI365" s="40"/>
      <c r="AJ365" s="40"/>
      <c r="AK365" s="40"/>
      <c r="AL365" s="40"/>
      <c r="AM365" s="40"/>
      <c r="AN365" s="40"/>
      <c r="AO365" s="40"/>
      <c r="AP365" s="40"/>
      <c r="AQ365" s="40"/>
      <c r="AR365" s="40"/>
      <c r="AS365" s="40"/>
      <c r="AT365" s="40"/>
    </row>
    <row r="366" spans="4:46" ht="18" customHeight="1">
      <c r="D366" s="111"/>
      <c r="E366" s="111"/>
      <c r="F366" s="111"/>
      <c r="P366" s="40"/>
      <c r="Q366" s="40"/>
      <c r="R366" s="40"/>
      <c r="S366" s="40"/>
      <c r="T366" s="40"/>
      <c r="U366" s="40"/>
      <c r="V366" s="40"/>
      <c r="W366" s="40"/>
      <c r="X366" s="40"/>
      <c r="Y366" s="40"/>
      <c r="Z366" s="40"/>
      <c r="AA366" s="40"/>
      <c r="AB366" s="40"/>
      <c r="AC366" s="40"/>
      <c r="AD366" s="40"/>
      <c r="AE366" s="40"/>
      <c r="AF366" s="40"/>
      <c r="AG366" s="40"/>
      <c r="AH366" s="40"/>
      <c r="AI366" s="40"/>
      <c r="AJ366" s="40"/>
      <c r="AK366" s="40"/>
      <c r="AL366" s="40"/>
      <c r="AM366" s="40"/>
      <c r="AN366" s="40"/>
      <c r="AO366" s="40"/>
      <c r="AP366" s="40"/>
      <c r="AQ366" s="40"/>
      <c r="AR366" s="40"/>
      <c r="AS366" s="40"/>
      <c r="AT366" s="40"/>
    </row>
    <row r="367" spans="4:46" ht="18" customHeight="1">
      <c r="D367" s="111"/>
      <c r="E367" s="111"/>
      <c r="F367" s="111"/>
      <c r="P367" s="40"/>
      <c r="Q367" s="40"/>
      <c r="R367" s="40"/>
      <c r="S367" s="40"/>
      <c r="T367" s="40"/>
      <c r="U367" s="40"/>
      <c r="V367" s="40"/>
      <c r="W367" s="40"/>
      <c r="X367" s="40"/>
      <c r="Y367" s="40"/>
      <c r="Z367" s="40"/>
      <c r="AA367" s="40"/>
      <c r="AB367" s="40"/>
      <c r="AC367" s="40"/>
      <c r="AD367" s="40"/>
      <c r="AE367" s="40"/>
      <c r="AF367" s="40"/>
      <c r="AG367" s="40"/>
      <c r="AH367" s="40"/>
      <c r="AI367" s="40"/>
      <c r="AJ367" s="40"/>
      <c r="AK367" s="40"/>
      <c r="AL367" s="40"/>
      <c r="AM367" s="40"/>
      <c r="AN367" s="40"/>
      <c r="AO367" s="40"/>
      <c r="AP367" s="40"/>
      <c r="AQ367" s="40"/>
      <c r="AR367" s="40"/>
      <c r="AS367" s="40"/>
      <c r="AT367" s="40"/>
    </row>
    <row r="368" spans="4:46" ht="18" customHeight="1">
      <c r="D368" s="111"/>
      <c r="E368" s="111"/>
      <c r="F368" s="111"/>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row>
    <row r="369" spans="4:46" ht="18" customHeight="1">
      <c r="D369" s="111"/>
      <c r="E369" s="111"/>
      <c r="F369" s="111"/>
      <c r="P369" s="40"/>
      <c r="Q369" s="40"/>
      <c r="R369" s="40"/>
      <c r="S369" s="40"/>
      <c r="T369" s="40"/>
      <c r="U369" s="40"/>
      <c r="V369" s="40"/>
      <c r="W369" s="40"/>
      <c r="X369" s="40"/>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row>
    <row r="370" spans="4:46" ht="18" customHeight="1">
      <c r="D370" s="111"/>
      <c r="E370" s="111"/>
      <c r="F370" s="111"/>
      <c r="P370" s="40"/>
      <c r="Q370" s="40"/>
      <c r="R370" s="40"/>
      <c r="S370" s="40"/>
      <c r="T370" s="40"/>
      <c r="U370" s="40"/>
      <c r="V370" s="40"/>
      <c r="W370" s="40"/>
      <c r="X370" s="40"/>
      <c r="Y370" s="40"/>
      <c r="Z370" s="40"/>
      <c r="AA370" s="40"/>
      <c r="AB370" s="40"/>
      <c r="AC370" s="40"/>
      <c r="AD370" s="40"/>
      <c r="AE370" s="40"/>
      <c r="AF370" s="40"/>
      <c r="AG370" s="40"/>
      <c r="AH370" s="40"/>
      <c r="AI370" s="40"/>
      <c r="AJ370" s="40"/>
      <c r="AK370" s="40"/>
      <c r="AL370" s="40"/>
      <c r="AM370" s="40"/>
      <c r="AN370" s="40"/>
      <c r="AO370" s="40"/>
      <c r="AP370" s="40"/>
      <c r="AQ370" s="40"/>
      <c r="AR370" s="40"/>
      <c r="AS370" s="40"/>
      <c r="AT370" s="40"/>
    </row>
    <row r="371" spans="4:46" ht="18" customHeight="1">
      <c r="D371" s="111"/>
      <c r="E371" s="111"/>
      <c r="F371" s="111"/>
      <c r="P371" s="40"/>
      <c r="Q371" s="40"/>
      <c r="R371" s="40"/>
      <c r="S371" s="40"/>
      <c r="T371" s="40"/>
      <c r="U371" s="40"/>
      <c r="V371" s="40"/>
      <c r="W371" s="40"/>
      <c r="X371" s="40"/>
      <c r="Y371" s="40"/>
      <c r="Z371" s="40"/>
      <c r="AA371" s="40"/>
      <c r="AB371" s="40"/>
      <c r="AC371" s="40"/>
      <c r="AD371" s="40"/>
      <c r="AE371" s="40"/>
      <c r="AF371" s="40"/>
      <c r="AG371" s="40"/>
      <c r="AH371" s="40"/>
      <c r="AI371" s="40"/>
      <c r="AJ371" s="40"/>
      <c r="AK371" s="40"/>
      <c r="AL371" s="40"/>
      <c r="AM371" s="40"/>
      <c r="AN371" s="40"/>
      <c r="AO371" s="40"/>
      <c r="AP371" s="40"/>
      <c r="AQ371" s="40"/>
      <c r="AR371" s="40"/>
      <c r="AS371" s="40"/>
      <c r="AT371" s="40"/>
    </row>
    <row r="372" spans="4:46" ht="18" customHeight="1">
      <c r="D372" s="111"/>
      <c r="E372" s="111"/>
      <c r="F372" s="111"/>
      <c r="P372" s="40"/>
      <c r="Q372" s="40"/>
      <c r="R372" s="40"/>
      <c r="S372" s="40"/>
      <c r="T372" s="40"/>
      <c r="U372" s="40"/>
      <c r="V372" s="40"/>
      <c r="W372" s="40"/>
      <c r="X372" s="40"/>
      <c r="Y372" s="40"/>
      <c r="Z372" s="40"/>
      <c r="AA372" s="40"/>
      <c r="AB372" s="40"/>
      <c r="AC372" s="40"/>
      <c r="AD372" s="40"/>
      <c r="AE372" s="40"/>
      <c r="AF372" s="40"/>
      <c r="AG372" s="40"/>
      <c r="AH372" s="40"/>
      <c r="AI372" s="40"/>
      <c r="AJ372" s="40"/>
      <c r="AK372" s="40"/>
      <c r="AL372" s="40"/>
      <c r="AM372" s="40"/>
      <c r="AN372" s="40"/>
      <c r="AO372" s="40"/>
      <c r="AP372" s="40"/>
      <c r="AQ372" s="40"/>
      <c r="AR372" s="40"/>
      <c r="AS372" s="40"/>
      <c r="AT372" s="40"/>
    </row>
    <row r="373" spans="4:46" ht="18" customHeight="1">
      <c r="D373" s="111"/>
      <c r="E373" s="111"/>
      <c r="F373" s="111"/>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row>
    <row r="374" spans="4:46" ht="18" customHeight="1">
      <c r="D374" s="111"/>
      <c r="E374" s="111"/>
      <c r="F374" s="111"/>
      <c r="P374" s="40"/>
      <c r="Q374" s="40"/>
      <c r="R374" s="40"/>
      <c r="S374" s="40"/>
      <c r="T374" s="40"/>
      <c r="U374" s="40"/>
      <c r="V374" s="40"/>
      <c r="W374" s="40"/>
      <c r="X374" s="40"/>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row>
    <row r="375" spans="4:46" ht="18" customHeight="1">
      <c r="D375" s="111"/>
      <c r="E375" s="111"/>
      <c r="F375" s="111"/>
      <c r="P375" s="40"/>
      <c r="Q375" s="40"/>
      <c r="R375" s="40"/>
      <c r="S375" s="40"/>
      <c r="T375" s="40"/>
      <c r="U375" s="40"/>
      <c r="V375" s="40"/>
      <c r="W375" s="40"/>
      <c r="X375" s="40"/>
      <c r="Y375" s="40"/>
      <c r="Z375" s="40"/>
      <c r="AA375" s="40"/>
      <c r="AB375" s="40"/>
      <c r="AC375" s="40"/>
      <c r="AD375" s="40"/>
      <c r="AE375" s="40"/>
      <c r="AF375" s="40"/>
      <c r="AG375" s="40"/>
      <c r="AH375" s="40"/>
      <c r="AI375" s="40"/>
      <c r="AJ375" s="40"/>
      <c r="AK375" s="40"/>
      <c r="AL375" s="40"/>
      <c r="AM375" s="40"/>
      <c r="AN375" s="40"/>
      <c r="AO375" s="40"/>
      <c r="AP375" s="40"/>
      <c r="AQ375" s="40"/>
      <c r="AR375" s="40"/>
      <c r="AS375" s="40"/>
      <c r="AT375" s="40"/>
    </row>
    <row r="376" spans="4:46" ht="18" customHeight="1">
      <c r="D376" s="111"/>
      <c r="E376" s="111"/>
      <c r="F376" s="111"/>
      <c r="P376" s="40"/>
      <c r="Q376" s="40"/>
      <c r="R376" s="40"/>
      <c r="S376" s="40"/>
      <c r="T376" s="40"/>
      <c r="U376" s="40"/>
      <c r="V376" s="40"/>
      <c r="W376" s="40"/>
      <c r="X376" s="40"/>
      <c r="Y376" s="40"/>
      <c r="Z376" s="40"/>
      <c r="AA376" s="40"/>
      <c r="AB376" s="40"/>
      <c r="AC376" s="40"/>
      <c r="AD376" s="40"/>
      <c r="AE376" s="40"/>
      <c r="AF376" s="40"/>
      <c r="AG376" s="40"/>
      <c r="AH376" s="40"/>
      <c r="AI376" s="40"/>
      <c r="AJ376" s="40"/>
      <c r="AK376" s="40"/>
      <c r="AL376" s="40"/>
      <c r="AM376" s="40"/>
      <c r="AN376" s="40"/>
      <c r="AO376" s="40"/>
      <c r="AP376" s="40"/>
      <c r="AQ376" s="40"/>
      <c r="AR376" s="40"/>
      <c r="AS376" s="40"/>
      <c r="AT376" s="40"/>
    </row>
    <row r="377" spans="4:46" ht="18" customHeight="1">
      <c r="D377" s="111"/>
      <c r="E377" s="111"/>
      <c r="F377" s="111"/>
      <c r="P377" s="40"/>
      <c r="Q377" s="40"/>
      <c r="R377" s="40"/>
      <c r="S377" s="40"/>
      <c r="T377" s="40"/>
      <c r="U377" s="40"/>
      <c r="V377" s="40"/>
      <c r="W377" s="40"/>
      <c r="X377" s="40"/>
      <c r="Y377" s="40"/>
      <c r="Z377" s="40"/>
      <c r="AA377" s="40"/>
      <c r="AB377" s="40"/>
      <c r="AC377" s="40"/>
      <c r="AD377" s="40"/>
      <c r="AE377" s="40"/>
      <c r="AF377" s="40"/>
      <c r="AG377" s="40"/>
      <c r="AH377" s="40"/>
      <c r="AI377" s="40"/>
      <c r="AJ377" s="40"/>
      <c r="AK377" s="40"/>
      <c r="AL377" s="40"/>
      <c r="AM377" s="40"/>
      <c r="AN377" s="40"/>
      <c r="AO377" s="40"/>
      <c r="AP377" s="40"/>
      <c r="AQ377" s="40"/>
      <c r="AR377" s="40"/>
      <c r="AS377" s="40"/>
      <c r="AT377" s="40"/>
    </row>
    <row r="378" spans="4:46" ht="18" customHeight="1">
      <c r="D378" s="111"/>
      <c r="E378" s="111"/>
      <c r="F378" s="111"/>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row>
    <row r="379" spans="4:46" ht="18" customHeight="1">
      <c r="D379" s="111"/>
      <c r="E379" s="111"/>
      <c r="F379" s="111"/>
      <c r="P379" s="40"/>
      <c r="Q379" s="40"/>
      <c r="R379" s="40"/>
      <c r="S379" s="40"/>
      <c r="T379" s="40"/>
      <c r="U379" s="40"/>
      <c r="V379" s="40"/>
      <c r="W379" s="40"/>
      <c r="X379" s="40"/>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row>
    <row r="380" spans="4:46" ht="18" customHeight="1">
      <c r="D380" s="111"/>
      <c r="E380" s="111"/>
      <c r="F380" s="111"/>
      <c r="P380" s="40"/>
      <c r="Q380" s="40"/>
      <c r="R380" s="40"/>
      <c r="S380" s="40"/>
      <c r="T380" s="40"/>
      <c r="U380" s="40"/>
      <c r="V380" s="40"/>
      <c r="W380" s="40"/>
      <c r="X380" s="40"/>
      <c r="Y380" s="40"/>
      <c r="Z380" s="40"/>
      <c r="AA380" s="40"/>
      <c r="AB380" s="40"/>
      <c r="AC380" s="40"/>
      <c r="AD380" s="40"/>
      <c r="AE380" s="40"/>
      <c r="AF380" s="40"/>
      <c r="AG380" s="40"/>
      <c r="AH380" s="40"/>
      <c r="AI380" s="40"/>
      <c r="AJ380" s="40"/>
      <c r="AK380" s="40"/>
      <c r="AL380" s="40"/>
      <c r="AM380" s="40"/>
      <c r="AN380" s="40"/>
      <c r="AO380" s="40"/>
      <c r="AP380" s="40"/>
      <c r="AQ380" s="40"/>
      <c r="AR380" s="40"/>
      <c r="AS380" s="40"/>
      <c r="AT380" s="40"/>
    </row>
    <row r="381" spans="4:46" ht="18" customHeight="1">
      <c r="D381" s="111"/>
      <c r="E381" s="111"/>
      <c r="F381" s="111"/>
      <c r="P381" s="40"/>
      <c r="Q381" s="40"/>
      <c r="R381" s="40"/>
      <c r="S381" s="40"/>
      <c r="T381" s="40"/>
      <c r="U381" s="40"/>
      <c r="V381" s="40"/>
      <c r="W381" s="40"/>
      <c r="X381" s="40"/>
      <c r="Y381" s="40"/>
      <c r="Z381" s="40"/>
      <c r="AA381" s="40"/>
      <c r="AB381" s="40"/>
      <c r="AC381" s="40"/>
      <c r="AD381" s="40"/>
      <c r="AE381" s="40"/>
      <c r="AF381" s="40"/>
      <c r="AG381" s="40"/>
      <c r="AH381" s="40"/>
      <c r="AI381" s="40"/>
      <c r="AJ381" s="40"/>
      <c r="AK381" s="40"/>
      <c r="AL381" s="40"/>
      <c r="AM381" s="40"/>
      <c r="AN381" s="40"/>
      <c r="AO381" s="40"/>
      <c r="AP381" s="40"/>
      <c r="AQ381" s="40"/>
      <c r="AR381" s="40"/>
      <c r="AS381" s="40"/>
      <c r="AT381" s="40"/>
    </row>
    <row r="382" spans="4:46" ht="18" customHeight="1">
      <c r="D382" s="111"/>
      <c r="E382" s="111"/>
      <c r="F382" s="111"/>
      <c r="P382" s="40"/>
      <c r="Q382" s="40"/>
      <c r="R382" s="40"/>
      <c r="S382" s="40"/>
      <c r="T382" s="40"/>
      <c r="U382" s="40"/>
      <c r="V382" s="40"/>
      <c r="W382" s="40"/>
      <c r="X382" s="40"/>
      <c r="Y382" s="40"/>
      <c r="Z382" s="40"/>
      <c r="AA382" s="40"/>
      <c r="AB382" s="40"/>
      <c r="AC382" s="40"/>
      <c r="AD382" s="40"/>
      <c r="AE382" s="40"/>
      <c r="AF382" s="40"/>
      <c r="AG382" s="40"/>
      <c r="AH382" s="40"/>
      <c r="AI382" s="40"/>
      <c r="AJ382" s="40"/>
      <c r="AK382" s="40"/>
      <c r="AL382" s="40"/>
      <c r="AM382" s="40"/>
      <c r="AN382" s="40"/>
      <c r="AO382" s="40"/>
      <c r="AP382" s="40"/>
      <c r="AQ382" s="40"/>
      <c r="AR382" s="40"/>
      <c r="AS382" s="40"/>
      <c r="AT382" s="40"/>
    </row>
    <row r="383" spans="4:46" ht="18" customHeight="1">
      <c r="D383" s="111"/>
      <c r="E383" s="111"/>
      <c r="F383" s="111"/>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row>
    <row r="384" spans="4:46" ht="18" customHeight="1">
      <c r="D384" s="111"/>
      <c r="E384" s="111"/>
      <c r="F384" s="111"/>
      <c r="P384" s="40"/>
      <c r="Q384" s="40"/>
      <c r="R384" s="40"/>
      <c r="S384" s="40"/>
      <c r="T384" s="40"/>
      <c r="U384" s="40"/>
      <c r="V384" s="40"/>
      <c r="W384" s="40"/>
      <c r="X384" s="40"/>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row>
    <row r="385" spans="4:46" ht="18" customHeight="1">
      <c r="D385" s="111"/>
      <c r="E385" s="111"/>
      <c r="F385" s="111"/>
      <c r="P385" s="40"/>
      <c r="Q385" s="40"/>
      <c r="R385" s="40"/>
      <c r="S385" s="40"/>
      <c r="T385" s="40"/>
      <c r="U385" s="40"/>
      <c r="V385" s="40"/>
      <c r="W385" s="40"/>
      <c r="X385" s="40"/>
      <c r="Y385" s="40"/>
      <c r="Z385" s="40"/>
      <c r="AA385" s="40"/>
      <c r="AB385" s="40"/>
      <c r="AC385" s="40"/>
      <c r="AD385" s="40"/>
      <c r="AE385" s="40"/>
      <c r="AF385" s="40"/>
      <c r="AG385" s="40"/>
      <c r="AH385" s="40"/>
      <c r="AI385" s="40"/>
      <c r="AJ385" s="40"/>
      <c r="AK385" s="40"/>
      <c r="AL385" s="40"/>
      <c r="AM385" s="40"/>
      <c r="AN385" s="40"/>
      <c r="AO385" s="40"/>
      <c r="AP385" s="40"/>
      <c r="AQ385" s="40"/>
      <c r="AR385" s="40"/>
      <c r="AS385" s="40"/>
      <c r="AT385" s="40"/>
    </row>
    <row r="386" spans="4:46" ht="18" customHeight="1">
      <c r="D386" s="111"/>
      <c r="E386" s="111"/>
      <c r="F386" s="111"/>
      <c r="P386" s="40"/>
      <c r="Q386" s="40"/>
      <c r="R386" s="40"/>
      <c r="S386" s="40"/>
      <c r="T386" s="40"/>
      <c r="U386" s="40"/>
      <c r="V386" s="40"/>
      <c r="W386" s="40"/>
      <c r="X386" s="40"/>
      <c r="Y386" s="40"/>
      <c r="Z386" s="40"/>
      <c r="AA386" s="40"/>
      <c r="AB386" s="40"/>
      <c r="AC386" s="40"/>
      <c r="AD386" s="40"/>
      <c r="AE386" s="40"/>
      <c r="AF386" s="40"/>
      <c r="AG386" s="40"/>
      <c r="AH386" s="40"/>
      <c r="AI386" s="40"/>
      <c r="AJ386" s="40"/>
      <c r="AK386" s="40"/>
      <c r="AL386" s="40"/>
      <c r="AM386" s="40"/>
      <c r="AN386" s="40"/>
      <c r="AO386" s="40"/>
      <c r="AP386" s="40"/>
      <c r="AQ386" s="40"/>
      <c r="AR386" s="40"/>
      <c r="AS386" s="40"/>
      <c r="AT386" s="40"/>
    </row>
    <row r="387" spans="4:46" ht="18" customHeight="1">
      <c r="D387" s="111"/>
      <c r="E387" s="111"/>
      <c r="F387" s="111"/>
      <c r="P387" s="40"/>
      <c r="Q387" s="40"/>
      <c r="R387" s="40"/>
      <c r="S387" s="40"/>
      <c r="T387" s="40"/>
      <c r="U387" s="40"/>
      <c r="V387" s="40"/>
      <c r="W387" s="40"/>
      <c r="X387" s="40"/>
      <c r="Y387" s="40"/>
      <c r="Z387" s="40"/>
      <c r="AA387" s="40"/>
      <c r="AB387" s="40"/>
      <c r="AC387" s="40"/>
      <c r="AD387" s="40"/>
      <c r="AE387" s="40"/>
      <c r="AF387" s="40"/>
      <c r="AG387" s="40"/>
      <c r="AH387" s="40"/>
      <c r="AI387" s="40"/>
      <c r="AJ387" s="40"/>
      <c r="AK387" s="40"/>
      <c r="AL387" s="40"/>
      <c r="AM387" s="40"/>
      <c r="AN387" s="40"/>
      <c r="AO387" s="40"/>
      <c r="AP387" s="40"/>
      <c r="AQ387" s="40"/>
      <c r="AR387" s="40"/>
      <c r="AS387" s="40"/>
      <c r="AT387" s="40"/>
    </row>
    <row r="388" spans="4:46" ht="18" customHeight="1">
      <c r="D388" s="111"/>
      <c r="E388" s="111"/>
      <c r="F388" s="111"/>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row>
    <row r="389" spans="4:46" ht="18" customHeight="1">
      <c r="D389" s="111"/>
      <c r="E389" s="111"/>
      <c r="F389" s="111"/>
      <c r="P389" s="40"/>
      <c r="Q389" s="40"/>
      <c r="R389" s="40"/>
      <c r="S389" s="40"/>
      <c r="T389" s="40"/>
      <c r="U389" s="40"/>
      <c r="V389" s="40"/>
      <c r="W389" s="40"/>
      <c r="X389" s="40"/>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row>
    <row r="390" spans="4:46" ht="18" customHeight="1">
      <c r="D390" s="111"/>
      <c r="E390" s="111"/>
      <c r="F390" s="111"/>
      <c r="P390" s="40"/>
      <c r="Q390" s="40"/>
      <c r="R390" s="40"/>
      <c r="S390" s="40"/>
      <c r="T390" s="40"/>
      <c r="U390" s="40"/>
      <c r="V390" s="40"/>
      <c r="W390" s="40"/>
      <c r="X390" s="40"/>
      <c r="Y390" s="40"/>
      <c r="Z390" s="40"/>
      <c r="AA390" s="40"/>
      <c r="AB390" s="40"/>
      <c r="AC390" s="40"/>
      <c r="AD390" s="40"/>
      <c r="AE390" s="40"/>
      <c r="AF390" s="40"/>
      <c r="AG390" s="40"/>
      <c r="AH390" s="40"/>
      <c r="AI390" s="40"/>
      <c r="AJ390" s="40"/>
      <c r="AK390" s="40"/>
      <c r="AL390" s="40"/>
      <c r="AM390" s="40"/>
      <c r="AN390" s="40"/>
      <c r="AO390" s="40"/>
      <c r="AP390" s="40"/>
      <c r="AQ390" s="40"/>
      <c r="AR390" s="40"/>
      <c r="AS390" s="40"/>
      <c r="AT390" s="40"/>
    </row>
    <row r="391" spans="4:46" ht="18" customHeight="1">
      <c r="D391" s="111"/>
      <c r="E391" s="111"/>
      <c r="F391" s="111"/>
      <c r="P391" s="40"/>
      <c r="Q391" s="40"/>
      <c r="R391" s="40"/>
      <c r="S391" s="40"/>
      <c r="T391" s="40"/>
      <c r="U391" s="40"/>
      <c r="V391" s="40"/>
      <c r="W391" s="40"/>
      <c r="X391" s="40"/>
      <c r="Y391" s="40"/>
      <c r="Z391" s="40"/>
      <c r="AA391" s="40"/>
      <c r="AB391" s="40"/>
      <c r="AC391" s="40"/>
      <c r="AD391" s="40"/>
      <c r="AE391" s="40"/>
      <c r="AF391" s="40"/>
      <c r="AG391" s="40"/>
      <c r="AH391" s="40"/>
      <c r="AI391" s="40"/>
      <c r="AJ391" s="40"/>
      <c r="AK391" s="40"/>
      <c r="AL391" s="40"/>
      <c r="AM391" s="40"/>
      <c r="AN391" s="40"/>
      <c r="AO391" s="40"/>
      <c r="AP391" s="40"/>
      <c r="AQ391" s="40"/>
      <c r="AR391" s="40"/>
      <c r="AS391" s="40"/>
      <c r="AT391" s="40"/>
    </row>
    <row r="392" spans="4:46" ht="18" customHeight="1">
      <c r="D392" s="111"/>
      <c r="E392" s="111"/>
      <c r="F392" s="111"/>
      <c r="P392" s="40"/>
      <c r="Q392" s="40"/>
      <c r="R392" s="40"/>
      <c r="S392" s="40"/>
      <c r="T392" s="40"/>
      <c r="U392" s="40"/>
      <c r="V392" s="40"/>
      <c r="W392" s="40"/>
      <c r="X392" s="40"/>
      <c r="Y392" s="40"/>
      <c r="Z392" s="40"/>
      <c r="AA392" s="40"/>
      <c r="AB392" s="40"/>
      <c r="AC392" s="40"/>
      <c r="AD392" s="40"/>
      <c r="AE392" s="40"/>
      <c r="AF392" s="40"/>
      <c r="AG392" s="40"/>
      <c r="AH392" s="40"/>
      <c r="AI392" s="40"/>
      <c r="AJ392" s="40"/>
      <c r="AK392" s="40"/>
      <c r="AL392" s="40"/>
      <c r="AM392" s="40"/>
      <c r="AN392" s="40"/>
      <c r="AO392" s="40"/>
      <c r="AP392" s="40"/>
      <c r="AQ392" s="40"/>
      <c r="AR392" s="40"/>
      <c r="AS392" s="40"/>
      <c r="AT392" s="40"/>
    </row>
    <row r="393" spans="4:46" ht="18" customHeight="1">
      <c r="D393" s="111"/>
      <c r="E393" s="111"/>
      <c r="F393" s="111"/>
      <c r="P393" s="40"/>
      <c r="Q393" s="40"/>
      <c r="R393" s="40"/>
      <c r="S393" s="40"/>
      <c r="T393" s="40"/>
      <c r="U393" s="40"/>
      <c r="V393" s="40"/>
      <c r="W393" s="40"/>
      <c r="X393" s="40"/>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row>
    <row r="394" spans="4:46" ht="18" customHeight="1">
      <c r="D394" s="111"/>
      <c r="E394" s="111"/>
      <c r="F394" s="111"/>
      <c r="P394" s="40"/>
      <c r="Q394" s="40"/>
      <c r="R394" s="40"/>
      <c r="S394" s="40"/>
      <c r="T394" s="40"/>
      <c r="U394" s="40"/>
      <c r="V394" s="40"/>
      <c r="W394" s="40"/>
      <c r="X394" s="40"/>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row>
    <row r="395" spans="4:46" ht="18" customHeight="1">
      <c r="D395" s="111"/>
      <c r="E395" s="111"/>
      <c r="F395" s="111"/>
      <c r="P395" s="40"/>
      <c r="Q395" s="40"/>
      <c r="R395" s="40"/>
      <c r="S395" s="40"/>
      <c r="T395" s="40"/>
      <c r="U395" s="40"/>
      <c r="V395" s="40"/>
      <c r="W395" s="40"/>
      <c r="X395" s="40"/>
      <c r="Y395" s="40"/>
      <c r="Z395" s="40"/>
      <c r="AA395" s="40"/>
      <c r="AB395" s="40"/>
      <c r="AC395" s="40"/>
      <c r="AD395" s="40"/>
      <c r="AE395" s="40"/>
      <c r="AF395" s="40"/>
      <c r="AG395" s="40"/>
      <c r="AH395" s="40"/>
      <c r="AI395" s="40"/>
      <c r="AJ395" s="40"/>
      <c r="AK395" s="40"/>
      <c r="AL395" s="40"/>
      <c r="AM395" s="40"/>
      <c r="AN395" s="40"/>
      <c r="AO395" s="40"/>
      <c r="AP395" s="40"/>
      <c r="AQ395" s="40"/>
      <c r="AR395" s="40"/>
      <c r="AS395" s="40"/>
      <c r="AT395" s="40"/>
    </row>
    <row r="396" spans="4:46" ht="18" customHeight="1">
      <c r="D396" s="111"/>
      <c r="E396" s="111"/>
      <c r="F396" s="111"/>
      <c r="P396" s="40"/>
      <c r="Q396" s="40"/>
      <c r="R396" s="40"/>
      <c r="S396" s="40"/>
      <c r="T396" s="40"/>
      <c r="U396" s="40"/>
      <c r="V396" s="40"/>
      <c r="W396" s="40"/>
      <c r="X396" s="40"/>
      <c r="Y396" s="40"/>
      <c r="Z396" s="40"/>
      <c r="AA396" s="40"/>
      <c r="AB396" s="40"/>
      <c r="AC396" s="40"/>
      <c r="AD396" s="40"/>
      <c r="AE396" s="40"/>
      <c r="AF396" s="40"/>
      <c r="AG396" s="40"/>
      <c r="AH396" s="40"/>
      <c r="AI396" s="40"/>
      <c r="AJ396" s="40"/>
      <c r="AK396" s="40"/>
      <c r="AL396" s="40"/>
      <c r="AM396" s="40"/>
      <c r="AN396" s="40"/>
      <c r="AO396" s="40"/>
      <c r="AP396" s="40"/>
      <c r="AQ396" s="40"/>
      <c r="AR396" s="40"/>
      <c r="AS396" s="40"/>
      <c r="AT396" s="40"/>
    </row>
    <row r="397" spans="4:46" ht="18" customHeight="1">
      <c r="D397" s="111"/>
      <c r="E397" s="111"/>
      <c r="F397" s="111"/>
      <c r="P397" s="40"/>
      <c r="Q397" s="40"/>
      <c r="R397" s="40"/>
      <c r="S397" s="40"/>
      <c r="T397" s="40"/>
      <c r="U397" s="40"/>
      <c r="V397" s="40"/>
      <c r="W397" s="40"/>
      <c r="X397" s="40"/>
      <c r="Y397" s="40"/>
      <c r="Z397" s="40"/>
      <c r="AA397" s="40"/>
      <c r="AB397" s="40"/>
      <c r="AC397" s="40"/>
      <c r="AD397" s="40"/>
      <c r="AE397" s="40"/>
      <c r="AF397" s="40"/>
      <c r="AG397" s="40"/>
      <c r="AH397" s="40"/>
      <c r="AI397" s="40"/>
      <c r="AJ397" s="40"/>
      <c r="AK397" s="40"/>
      <c r="AL397" s="40"/>
      <c r="AM397" s="40"/>
      <c r="AN397" s="40"/>
      <c r="AO397" s="40"/>
      <c r="AP397" s="40"/>
      <c r="AQ397" s="40"/>
      <c r="AR397" s="40"/>
      <c r="AS397" s="40"/>
      <c r="AT397" s="40"/>
    </row>
    <row r="398" spans="4:46" ht="18" customHeight="1">
      <c r="D398" s="111"/>
      <c r="E398" s="111"/>
      <c r="F398" s="111"/>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row>
    <row r="399" spans="4:46" ht="18" customHeight="1">
      <c r="D399" s="111"/>
      <c r="E399" s="111"/>
      <c r="F399" s="111"/>
      <c r="P399" s="40"/>
      <c r="Q399" s="40"/>
      <c r="R399" s="40"/>
      <c r="S399" s="40"/>
      <c r="T399" s="40"/>
      <c r="U399" s="40"/>
      <c r="V399" s="40"/>
      <c r="W399" s="40"/>
      <c r="X399" s="40"/>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row>
    <row r="400" spans="4:46" ht="18" customHeight="1">
      <c r="D400" s="111"/>
      <c r="E400" s="111"/>
      <c r="F400" s="111"/>
      <c r="P400" s="40"/>
      <c r="Q400" s="40"/>
      <c r="R400" s="40"/>
      <c r="S400" s="40"/>
      <c r="T400" s="40"/>
      <c r="U400" s="40"/>
      <c r="V400" s="40"/>
      <c r="W400" s="40"/>
      <c r="X400" s="40"/>
      <c r="Y400" s="40"/>
      <c r="Z400" s="40"/>
      <c r="AA400" s="40"/>
      <c r="AB400" s="40"/>
      <c r="AC400" s="40"/>
      <c r="AD400" s="40"/>
      <c r="AE400" s="40"/>
      <c r="AF400" s="40"/>
      <c r="AG400" s="40"/>
      <c r="AH400" s="40"/>
      <c r="AI400" s="40"/>
      <c r="AJ400" s="40"/>
      <c r="AK400" s="40"/>
      <c r="AL400" s="40"/>
      <c r="AM400" s="40"/>
      <c r="AN400" s="40"/>
      <c r="AO400" s="40"/>
      <c r="AP400" s="40"/>
      <c r="AQ400" s="40"/>
      <c r="AR400" s="40"/>
      <c r="AS400" s="40"/>
      <c r="AT400" s="40"/>
    </row>
    <row r="401" spans="4:46" ht="18" customHeight="1">
      <c r="D401" s="111"/>
      <c r="E401" s="111"/>
      <c r="F401" s="111"/>
      <c r="P401" s="40"/>
      <c r="Q401" s="40"/>
      <c r="R401" s="40"/>
      <c r="S401" s="40"/>
      <c r="T401" s="40"/>
      <c r="U401" s="40"/>
      <c r="V401" s="40"/>
      <c r="W401" s="40"/>
      <c r="X401" s="40"/>
      <c r="Y401" s="40"/>
      <c r="Z401" s="40"/>
      <c r="AA401" s="40"/>
      <c r="AB401" s="40"/>
      <c r="AC401" s="40"/>
      <c r="AD401" s="40"/>
      <c r="AE401" s="40"/>
      <c r="AF401" s="40"/>
      <c r="AG401" s="40"/>
      <c r="AH401" s="40"/>
      <c r="AI401" s="40"/>
      <c r="AJ401" s="40"/>
      <c r="AK401" s="40"/>
      <c r="AL401" s="40"/>
      <c r="AM401" s="40"/>
      <c r="AN401" s="40"/>
      <c r="AO401" s="40"/>
      <c r="AP401" s="40"/>
      <c r="AQ401" s="40"/>
      <c r="AR401" s="40"/>
      <c r="AS401" s="40"/>
      <c r="AT401" s="40"/>
    </row>
    <row r="402" spans="4:46" ht="18" customHeight="1">
      <c r="D402" s="111"/>
      <c r="E402" s="111"/>
      <c r="F402" s="111"/>
      <c r="P402" s="40"/>
      <c r="Q402" s="40"/>
      <c r="R402" s="40"/>
      <c r="S402" s="40"/>
      <c r="T402" s="40"/>
      <c r="U402" s="40"/>
      <c r="V402" s="40"/>
      <c r="W402" s="40"/>
      <c r="X402" s="40"/>
      <c r="Y402" s="40"/>
      <c r="Z402" s="40"/>
      <c r="AA402" s="40"/>
      <c r="AB402" s="40"/>
      <c r="AC402" s="40"/>
      <c r="AD402" s="40"/>
      <c r="AE402" s="40"/>
      <c r="AF402" s="40"/>
      <c r="AG402" s="40"/>
      <c r="AH402" s="40"/>
      <c r="AI402" s="40"/>
      <c r="AJ402" s="40"/>
      <c r="AK402" s="40"/>
      <c r="AL402" s="40"/>
      <c r="AM402" s="40"/>
      <c r="AN402" s="40"/>
      <c r="AO402" s="40"/>
      <c r="AP402" s="40"/>
      <c r="AQ402" s="40"/>
      <c r="AR402" s="40"/>
      <c r="AS402" s="40"/>
      <c r="AT402" s="40"/>
    </row>
    <row r="403" spans="4:46" ht="18" customHeight="1">
      <c r="D403" s="111"/>
      <c r="E403" s="111"/>
      <c r="F403" s="111"/>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row>
    <row r="404" spans="4:46" ht="18" customHeight="1">
      <c r="D404" s="111"/>
      <c r="E404" s="111"/>
      <c r="F404" s="111"/>
      <c r="P404" s="40"/>
      <c r="Q404" s="40"/>
      <c r="R404" s="40"/>
      <c r="S404" s="40"/>
      <c r="T404" s="40"/>
      <c r="U404" s="40"/>
      <c r="V404" s="40"/>
      <c r="W404" s="40"/>
      <c r="X404" s="40"/>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row>
    <row r="405" spans="4:46" ht="18" customHeight="1">
      <c r="D405" s="111"/>
      <c r="E405" s="111"/>
      <c r="F405" s="111"/>
      <c r="P405" s="40"/>
      <c r="Q405" s="40"/>
      <c r="R405" s="40"/>
      <c r="S405" s="40"/>
      <c r="T405" s="40"/>
      <c r="U405" s="40"/>
      <c r="V405" s="40"/>
      <c r="W405" s="40"/>
      <c r="X405" s="40"/>
      <c r="Y405" s="40"/>
      <c r="Z405" s="40"/>
      <c r="AA405" s="40"/>
      <c r="AB405" s="40"/>
      <c r="AC405" s="40"/>
      <c r="AD405" s="40"/>
      <c r="AE405" s="40"/>
      <c r="AF405" s="40"/>
      <c r="AG405" s="40"/>
      <c r="AH405" s="40"/>
      <c r="AI405" s="40"/>
      <c r="AJ405" s="40"/>
      <c r="AK405" s="40"/>
      <c r="AL405" s="40"/>
      <c r="AM405" s="40"/>
      <c r="AN405" s="40"/>
      <c r="AO405" s="40"/>
      <c r="AP405" s="40"/>
      <c r="AQ405" s="40"/>
      <c r="AR405" s="40"/>
      <c r="AS405" s="40"/>
      <c r="AT405" s="40"/>
    </row>
    <row r="406" spans="4:46" ht="18" customHeight="1">
      <c r="D406" s="111"/>
      <c r="E406" s="111"/>
      <c r="F406" s="111"/>
      <c r="P406" s="40"/>
      <c r="Q406" s="40"/>
      <c r="R406" s="40"/>
      <c r="S406" s="40"/>
      <c r="T406" s="40"/>
      <c r="U406" s="40"/>
      <c r="V406" s="40"/>
      <c r="W406" s="40"/>
      <c r="X406" s="40"/>
      <c r="Y406" s="40"/>
      <c r="Z406" s="40"/>
      <c r="AA406" s="40"/>
      <c r="AB406" s="40"/>
      <c r="AC406" s="40"/>
      <c r="AD406" s="40"/>
      <c r="AE406" s="40"/>
      <c r="AF406" s="40"/>
      <c r="AG406" s="40"/>
      <c r="AH406" s="40"/>
      <c r="AI406" s="40"/>
      <c r="AJ406" s="40"/>
      <c r="AK406" s="40"/>
      <c r="AL406" s="40"/>
      <c r="AM406" s="40"/>
      <c r="AN406" s="40"/>
      <c r="AO406" s="40"/>
      <c r="AP406" s="40"/>
      <c r="AQ406" s="40"/>
      <c r="AR406" s="40"/>
      <c r="AS406" s="40"/>
      <c r="AT406" s="40"/>
    </row>
    <row r="407" spans="4:46" ht="18" customHeight="1">
      <c r="D407" s="111"/>
      <c r="E407" s="111"/>
      <c r="F407" s="111"/>
      <c r="P407" s="40"/>
      <c r="Q407" s="40"/>
      <c r="R407" s="40"/>
      <c r="S407" s="40"/>
      <c r="T407" s="40"/>
      <c r="U407" s="40"/>
      <c r="V407" s="40"/>
      <c r="W407" s="40"/>
      <c r="X407" s="40"/>
      <c r="Y407" s="40"/>
      <c r="Z407" s="40"/>
      <c r="AA407" s="40"/>
      <c r="AB407" s="40"/>
      <c r="AC407" s="40"/>
      <c r="AD407" s="40"/>
      <c r="AE407" s="40"/>
      <c r="AF407" s="40"/>
      <c r="AG407" s="40"/>
      <c r="AH407" s="40"/>
      <c r="AI407" s="40"/>
      <c r="AJ407" s="40"/>
      <c r="AK407" s="40"/>
      <c r="AL407" s="40"/>
      <c r="AM407" s="40"/>
      <c r="AN407" s="40"/>
      <c r="AO407" s="40"/>
      <c r="AP407" s="40"/>
      <c r="AQ407" s="40"/>
      <c r="AR407" s="40"/>
      <c r="AS407" s="40"/>
      <c r="AT407" s="40"/>
    </row>
    <row r="408" spans="4:46" ht="18" customHeight="1">
      <c r="D408" s="111"/>
      <c r="E408" s="111"/>
      <c r="F408" s="111"/>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row>
    <row r="409" spans="4:46" ht="18" customHeight="1">
      <c r="D409" s="111"/>
      <c r="E409" s="111"/>
      <c r="F409" s="111"/>
      <c r="P409" s="40"/>
      <c r="Q409" s="40"/>
      <c r="R409" s="40"/>
      <c r="S409" s="40"/>
      <c r="T409" s="40"/>
      <c r="U409" s="40"/>
      <c r="V409" s="40"/>
      <c r="W409" s="40"/>
      <c r="X409" s="40"/>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row>
    <row r="410" spans="4:46" ht="18" customHeight="1">
      <c r="D410" s="111"/>
      <c r="E410" s="111"/>
      <c r="F410" s="111"/>
      <c r="P410" s="40"/>
      <c r="Q410" s="40"/>
      <c r="R410" s="40"/>
      <c r="S410" s="40"/>
      <c r="T410" s="40"/>
      <c r="U410" s="40"/>
      <c r="V410" s="40"/>
      <c r="W410" s="40"/>
      <c r="X410" s="40"/>
      <c r="Y410" s="40"/>
      <c r="Z410" s="40"/>
      <c r="AA410" s="40"/>
      <c r="AB410" s="40"/>
      <c r="AC410" s="40"/>
      <c r="AD410" s="40"/>
      <c r="AE410" s="40"/>
      <c r="AF410" s="40"/>
      <c r="AG410" s="40"/>
      <c r="AH410" s="40"/>
      <c r="AI410" s="40"/>
      <c r="AJ410" s="40"/>
      <c r="AK410" s="40"/>
      <c r="AL410" s="40"/>
      <c r="AM410" s="40"/>
      <c r="AN410" s="40"/>
      <c r="AO410" s="40"/>
      <c r="AP410" s="40"/>
      <c r="AQ410" s="40"/>
      <c r="AR410" s="40"/>
      <c r="AS410" s="40"/>
      <c r="AT410" s="40"/>
    </row>
    <row r="411" spans="4:46" ht="18" customHeight="1">
      <c r="D411" s="111"/>
      <c r="E411" s="111"/>
      <c r="F411" s="111"/>
      <c r="P411" s="40"/>
      <c r="Q411" s="40"/>
      <c r="R411" s="40"/>
      <c r="S411" s="40"/>
      <c r="T411" s="40"/>
      <c r="U411" s="40"/>
      <c r="V411" s="40"/>
      <c r="W411" s="40"/>
      <c r="X411" s="40"/>
      <c r="Y411" s="40"/>
      <c r="Z411" s="40"/>
      <c r="AA411" s="40"/>
      <c r="AB411" s="40"/>
      <c r="AC411" s="40"/>
      <c r="AD411" s="40"/>
      <c r="AE411" s="40"/>
      <c r="AF411" s="40"/>
      <c r="AG411" s="40"/>
      <c r="AH411" s="40"/>
      <c r="AI411" s="40"/>
      <c r="AJ411" s="40"/>
      <c r="AK411" s="40"/>
      <c r="AL411" s="40"/>
      <c r="AM411" s="40"/>
      <c r="AN411" s="40"/>
      <c r="AO411" s="40"/>
      <c r="AP411" s="40"/>
      <c r="AQ411" s="40"/>
      <c r="AR411" s="40"/>
      <c r="AS411" s="40"/>
      <c r="AT411" s="40"/>
    </row>
    <row r="412" spans="4:46" ht="18" customHeight="1">
      <c r="D412" s="111"/>
      <c r="E412" s="111"/>
      <c r="F412" s="111"/>
      <c r="P412" s="40"/>
      <c r="Q412" s="40"/>
      <c r="R412" s="40"/>
      <c r="S412" s="40"/>
      <c r="T412" s="40"/>
      <c r="U412" s="40"/>
      <c r="V412" s="40"/>
      <c r="W412" s="40"/>
      <c r="X412" s="40"/>
      <c r="Y412" s="40"/>
      <c r="Z412" s="40"/>
      <c r="AA412" s="40"/>
      <c r="AB412" s="40"/>
      <c r="AC412" s="40"/>
      <c r="AD412" s="40"/>
      <c r="AE412" s="40"/>
      <c r="AF412" s="40"/>
      <c r="AG412" s="40"/>
      <c r="AH412" s="40"/>
      <c r="AI412" s="40"/>
      <c r="AJ412" s="40"/>
      <c r="AK412" s="40"/>
      <c r="AL412" s="40"/>
      <c r="AM412" s="40"/>
      <c r="AN412" s="40"/>
      <c r="AO412" s="40"/>
      <c r="AP412" s="40"/>
      <c r="AQ412" s="40"/>
      <c r="AR412" s="40"/>
      <c r="AS412" s="40"/>
      <c r="AT412" s="40"/>
    </row>
    <row r="413" spans="4:46" ht="18" customHeight="1">
      <c r="D413" s="111"/>
      <c r="E413" s="111"/>
      <c r="F413" s="111"/>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row>
    <row r="414" spans="4:46" ht="18" customHeight="1">
      <c r="D414" s="111"/>
      <c r="E414" s="111"/>
      <c r="F414" s="111"/>
      <c r="P414" s="40"/>
      <c r="Q414" s="40"/>
      <c r="R414" s="40"/>
      <c r="S414" s="40"/>
      <c r="T414" s="40"/>
      <c r="U414" s="40"/>
      <c r="V414" s="40"/>
      <c r="W414" s="40"/>
      <c r="X414" s="40"/>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row>
    <row r="415" spans="4:46" ht="18" customHeight="1">
      <c r="D415" s="111"/>
      <c r="E415" s="111"/>
      <c r="F415" s="111"/>
      <c r="P415" s="40"/>
      <c r="Q415" s="40"/>
      <c r="R415" s="40"/>
      <c r="S415" s="40"/>
      <c r="T415" s="40"/>
      <c r="U415" s="40"/>
      <c r="V415" s="40"/>
      <c r="W415" s="40"/>
      <c r="X415" s="40"/>
      <c r="Y415" s="40"/>
      <c r="Z415" s="40"/>
      <c r="AA415" s="40"/>
      <c r="AB415" s="40"/>
      <c r="AC415" s="40"/>
      <c r="AD415" s="40"/>
      <c r="AE415" s="40"/>
      <c r="AF415" s="40"/>
      <c r="AG415" s="40"/>
      <c r="AH415" s="40"/>
      <c r="AI415" s="40"/>
      <c r="AJ415" s="40"/>
      <c r="AK415" s="40"/>
      <c r="AL415" s="40"/>
      <c r="AM415" s="40"/>
      <c r="AN415" s="40"/>
      <c r="AO415" s="40"/>
      <c r="AP415" s="40"/>
      <c r="AQ415" s="40"/>
      <c r="AR415" s="40"/>
      <c r="AS415" s="40"/>
      <c r="AT415" s="40"/>
    </row>
    <row r="416" spans="4:46" ht="18" customHeight="1">
      <c r="D416" s="111"/>
      <c r="E416" s="111"/>
      <c r="F416" s="111"/>
      <c r="P416" s="40"/>
      <c r="Q416" s="40"/>
      <c r="R416" s="40"/>
      <c r="S416" s="40"/>
      <c r="T416" s="40"/>
      <c r="U416" s="40"/>
      <c r="V416" s="40"/>
      <c r="W416" s="40"/>
      <c r="X416" s="40"/>
      <c r="Y416" s="40"/>
      <c r="Z416" s="40"/>
      <c r="AA416" s="40"/>
      <c r="AB416" s="40"/>
      <c r="AC416" s="40"/>
      <c r="AD416" s="40"/>
      <c r="AE416" s="40"/>
      <c r="AF416" s="40"/>
      <c r="AG416" s="40"/>
      <c r="AH416" s="40"/>
      <c r="AI416" s="40"/>
      <c r="AJ416" s="40"/>
      <c r="AK416" s="40"/>
      <c r="AL416" s="40"/>
      <c r="AM416" s="40"/>
      <c r="AN416" s="40"/>
      <c r="AO416" s="40"/>
      <c r="AP416" s="40"/>
      <c r="AQ416" s="40"/>
      <c r="AR416" s="40"/>
      <c r="AS416" s="40"/>
      <c r="AT416" s="40"/>
    </row>
    <row r="417" spans="4:46" ht="18" customHeight="1">
      <c r="D417" s="111"/>
      <c r="E417" s="111"/>
      <c r="F417" s="111"/>
      <c r="P417" s="40"/>
      <c r="Q417" s="40"/>
      <c r="R417" s="40"/>
      <c r="S417" s="40"/>
      <c r="T417" s="40"/>
      <c r="U417" s="40"/>
      <c r="V417" s="40"/>
      <c r="W417" s="40"/>
      <c r="X417" s="40"/>
      <c r="Y417" s="40"/>
      <c r="Z417" s="40"/>
      <c r="AA417" s="40"/>
      <c r="AB417" s="40"/>
      <c r="AC417" s="40"/>
      <c r="AD417" s="40"/>
      <c r="AE417" s="40"/>
      <c r="AF417" s="40"/>
      <c r="AG417" s="40"/>
      <c r="AH417" s="40"/>
      <c r="AI417" s="40"/>
      <c r="AJ417" s="40"/>
      <c r="AK417" s="40"/>
      <c r="AL417" s="40"/>
      <c r="AM417" s="40"/>
      <c r="AN417" s="40"/>
      <c r="AO417" s="40"/>
      <c r="AP417" s="40"/>
      <c r="AQ417" s="40"/>
      <c r="AR417" s="40"/>
      <c r="AS417" s="40"/>
      <c r="AT417" s="40"/>
    </row>
    <row r="418" spans="4:46" ht="18" customHeight="1">
      <c r="D418" s="111"/>
      <c r="E418" s="111"/>
      <c r="F418" s="111"/>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row>
    <row r="419" spans="4:46" ht="18" customHeight="1">
      <c r="D419" s="111"/>
      <c r="E419" s="111"/>
      <c r="F419" s="111"/>
      <c r="P419" s="40"/>
      <c r="Q419" s="40"/>
      <c r="R419" s="40"/>
      <c r="S419" s="40"/>
      <c r="T419" s="40"/>
      <c r="U419" s="40"/>
      <c r="V419" s="40"/>
      <c r="W419" s="40"/>
      <c r="X419" s="40"/>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row>
    <row r="420" spans="4:46" ht="18" customHeight="1">
      <c r="D420" s="111"/>
      <c r="E420" s="111"/>
      <c r="F420" s="111"/>
      <c r="P420" s="40"/>
      <c r="Q420" s="40"/>
      <c r="R420" s="40"/>
      <c r="S420" s="40"/>
      <c r="T420" s="40"/>
      <c r="U420" s="40"/>
      <c r="V420" s="40"/>
      <c r="W420" s="40"/>
      <c r="X420" s="40"/>
      <c r="Y420" s="40"/>
      <c r="Z420" s="40"/>
      <c r="AA420" s="40"/>
      <c r="AB420" s="40"/>
      <c r="AC420" s="40"/>
      <c r="AD420" s="40"/>
      <c r="AE420" s="40"/>
      <c r="AF420" s="40"/>
      <c r="AG420" s="40"/>
      <c r="AH420" s="40"/>
      <c r="AI420" s="40"/>
      <c r="AJ420" s="40"/>
      <c r="AK420" s="40"/>
      <c r="AL420" s="40"/>
      <c r="AM420" s="40"/>
      <c r="AN420" s="40"/>
      <c r="AO420" s="40"/>
      <c r="AP420" s="40"/>
      <c r="AQ420" s="40"/>
      <c r="AR420" s="40"/>
      <c r="AS420" s="40"/>
      <c r="AT420" s="40"/>
    </row>
    <row r="421" spans="4:46" ht="18" customHeight="1">
      <c r="D421" s="111"/>
      <c r="E421" s="111"/>
      <c r="F421" s="111"/>
      <c r="P421" s="40"/>
      <c r="Q421" s="40"/>
      <c r="R421" s="40"/>
      <c r="S421" s="40"/>
      <c r="T421" s="40"/>
      <c r="U421" s="40"/>
      <c r="V421" s="40"/>
      <c r="W421" s="40"/>
      <c r="X421" s="40"/>
      <c r="Y421" s="40"/>
      <c r="Z421" s="40"/>
      <c r="AA421" s="40"/>
      <c r="AB421" s="40"/>
      <c r="AC421" s="40"/>
      <c r="AD421" s="40"/>
      <c r="AE421" s="40"/>
      <c r="AF421" s="40"/>
      <c r="AG421" s="40"/>
      <c r="AH421" s="40"/>
      <c r="AI421" s="40"/>
      <c r="AJ421" s="40"/>
      <c r="AK421" s="40"/>
      <c r="AL421" s="40"/>
      <c r="AM421" s="40"/>
      <c r="AN421" s="40"/>
      <c r="AO421" s="40"/>
      <c r="AP421" s="40"/>
      <c r="AQ421" s="40"/>
      <c r="AR421" s="40"/>
      <c r="AS421" s="40"/>
      <c r="AT421" s="40"/>
    </row>
    <row r="422" spans="4:46" ht="18" customHeight="1">
      <c r="D422" s="111"/>
      <c r="E422" s="111"/>
      <c r="F422" s="111"/>
      <c r="P422" s="40"/>
      <c r="Q422" s="40"/>
      <c r="R422" s="40"/>
      <c r="S422" s="40"/>
      <c r="T422" s="40"/>
      <c r="U422" s="40"/>
      <c r="V422" s="40"/>
      <c r="W422" s="40"/>
      <c r="X422" s="40"/>
      <c r="Y422" s="40"/>
      <c r="Z422" s="40"/>
      <c r="AA422" s="40"/>
      <c r="AB422" s="40"/>
      <c r="AC422" s="40"/>
      <c r="AD422" s="40"/>
      <c r="AE422" s="40"/>
      <c r="AF422" s="40"/>
      <c r="AG422" s="40"/>
      <c r="AH422" s="40"/>
      <c r="AI422" s="40"/>
      <c r="AJ422" s="40"/>
      <c r="AK422" s="40"/>
      <c r="AL422" s="40"/>
      <c r="AM422" s="40"/>
      <c r="AN422" s="40"/>
      <c r="AO422" s="40"/>
      <c r="AP422" s="40"/>
      <c r="AQ422" s="40"/>
      <c r="AR422" s="40"/>
      <c r="AS422" s="40"/>
      <c r="AT422" s="40"/>
    </row>
    <row r="423" spans="4:46" ht="18" customHeight="1">
      <c r="D423" s="111"/>
      <c r="E423" s="111"/>
      <c r="F423" s="111"/>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row>
    <row r="424" spans="4:46" ht="18" customHeight="1">
      <c r="D424" s="111"/>
      <c r="E424" s="111"/>
      <c r="F424" s="111"/>
      <c r="P424" s="40"/>
      <c r="Q424" s="40"/>
      <c r="R424" s="40"/>
      <c r="S424" s="40"/>
      <c r="T424" s="40"/>
      <c r="U424" s="40"/>
      <c r="V424" s="40"/>
      <c r="W424" s="40"/>
      <c r="X424" s="40"/>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row>
    <row r="425" spans="4:46" ht="18" customHeight="1">
      <c r="D425" s="111"/>
      <c r="E425" s="111"/>
      <c r="F425" s="111"/>
      <c r="P425" s="40"/>
      <c r="Q425" s="40"/>
      <c r="R425" s="40"/>
      <c r="S425" s="40"/>
      <c r="T425" s="40"/>
      <c r="U425" s="40"/>
      <c r="V425" s="40"/>
      <c r="W425" s="40"/>
      <c r="X425" s="40"/>
      <c r="Y425" s="40"/>
      <c r="Z425" s="40"/>
      <c r="AA425" s="40"/>
      <c r="AB425" s="40"/>
      <c r="AC425" s="40"/>
      <c r="AD425" s="40"/>
      <c r="AE425" s="40"/>
      <c r="AF425" s="40"/>
      <c r="AG425" s="40"/>
      <c r="AH425" s="40"/>
      <c r="AI425" s="40"/>
      <c r="AJ425" s="40"/>
      <c r="AK425" s="40"/>
      <c r="AL425" s="40"/>
      <c r="AM425" s="40"/>
      <c r="AN425" s="40"/>
      <c r="AO425" s="40"/>
      <c r="AP425" s="40"/>
      <c r="AQ425" s="40"/>
      <c r="AR425" s="40"/>
      <c r="AS425" s="40"/>
      <c r="AT425" s="40"/>
    </row>
    <row r="426" spans="4:46" ht="18" customHeight="1">
      <c r="D426" s="111"/>
      <c r="E426" s="111"/>
      <c r="F426" s="111"/>
      <c r="P426" s="40"/>
      <c r="Q426" s="40"/>
      <c r="R426" s="40"/>
      <c r="S426" s="40"/>
      <c r="T426" s="40"/>
      <c r="U426" s="40"/>
      <c r="V426" s="40"/>
      <c r="W426" s="40"/>
      <c r="X426" s="40"/>
      <c r="Y426" s="40"/>
      <c r="Z426" s="40"/>
      <c r="AA426" s="40"/>
      <c r="AB426" s="40"/>
      <c r="AC426" s="40"/>
      <c r="AD426" s="40"/>
      <c r="AE426" s="40"/>
      <c r="AF426" s="40"/>
      <c r="AG426" s="40"/>
      <c r="AH426" s="40"/>
      <c r="AI426" s="40"/>
      <c r="AJ426" s="40"/>
      <c r="AK426" s="40"/>
      <c r="AL426" s="40"/>
      <c r="AM426" s="40"/>
      <c r="AN426" s="40"/>
      <c r="AO426" s="40"/>
      <c r="AP426" s="40"/>
      <c r="AQ426" s="40"/>
      <c r="AR426" s="40"/>
      <c r="AS426" s="40"/>
      <c r="AT426" s="40"/>
    </row>
    <row r="427" spans="4:46" ht="18" customHeight="1">
      <c r="D427" s="111"/>
      <c r="E427" s="111"/>
      <c r="F427" s="111"/>
      <c r="P427" s="40"/>
      <c r="Q427" s="40"/>
      <c r="R427" s="40"/>
      <c r="S427" s="40"/>
      <c r="T427" s="40"/>
      <c r="U427" s="40"/>
      <c r="V427" s="40"/>
      <c r="W427" s="40"/>
      <c r="X427" s="40"/>
      <c r="Y427" s="40"/>
      <c r="Z427" s="40"/>
      <c r="AA427" s="40"/>
      <c r="AB427" s="40"/>
      <c r="AC427" s="40"/>
      <c r="AD427" s="40"/>
      <c r="AE427" s="40"/>
      <c r="AF427" s="40"/>
      <c r="AG427" s="40"/>
      <c r="AH427" s="40"/>
      <c r="AI427" s="40"/>
      <c r="AJ427" s="40"/>
      <c r="AK427" s="40"/>
      <c r="AL427" s="40"/>
      <c r="AM427" s="40"/>
      <c r="AN427" s="40"/>
      <c r="AO427" s="40"/>
      <c r="AP427" s="40"/>
      <c r="AQ427" s="40"/>
      <c r="AR427" s="40"/>
      <c r="AS427" s="40"/>
      <c r="AT427" s="40"/>
    </row>
    <row r="428" spans="4:46" ht="18" customHeight="1">
      <c r="D428" s="111"/>
      <c r="E428" s="111"/>
      <c r="F428" s="111"/>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row>
    <row r="429" spans="4:46" ht="18" customHeight="1">
      <c r="D429" s="111"/>
      <c r="E429" s="111"/>
      <c r="F429" s="111"/>
      <c r="P429" s="40"/>
      <c r="Q429" s="40"/>
      <c r="R429" s="40"/>
      <c r="S429" s="40"/>
      <c r="T429" s="40"/>
      <c r="U429" s="40"/>
      <c r="V429" s="40"/>
      <c r="W429" s="40"/>
      <c r="X429" s="40"/>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row>
    <row r="430" spans="4:46" ht="18" customHeight="1">
      <c r="D430" s="111"/>
      <c r="E430" s="111"/>
      <c r="F430" s="111"/>
      <c r="P430" s="40"/>
      <c r="Q430" s="40"/>
      <c r="R430" s="40"/>
      <c r="S430" s="40"/>
      <c r="T430" s="40"/>
      <c r="U430" s="40"/>
      <c r="V430" s="40"/>
      <c r="W430" s="40"/>
      <c r="X430" s="40"/>
      <c r="Y430" s="40"/>
      <c r="Z430" s="40"/>
      <c r="AA430" s="40"/>
      <c r="AB430" s="40"/>
      <c r="AC430" s="40"/>
      <c r="AD430" s="40"/>
      <c r="AE430" s="40"/>
      <c r="AF430" s="40"/>
      <c r="AG430" s="40"/>
      <c r="AH430" s="40"/>
      <c r="AI430" s="40"/>
      <c r="AJ430" s="40"/>
      <c r="AK430" s="40"/>
      <c r="AL430" s="40"/>
      <c r="AM430" s="40"/>
      <c r="AN430" s="40"/>
      <c r="AO430" s="40"/>
      <c r="AP430" s="40"/>
      <c r="AQ430" s="40"/>
      <c r="AR430" s="40"/>
      <c r="AS430" s="40"/>
      <c r="AT430" s="40"/>
    </row>
    <row r="431" spans="4:46" ht="18" customHeight="1">
      <c r="D431" s="111"/>
      <c r="E431" s="111"/>
      <c r="F431" s="111"/>
      <c r="P431" s="40"/>
      <c r="Q431" s="40"/>
      <c r="R431" s="40"/>
      <c r="S431" s="40"/>
      <c r="T431" s="40"/>
      <c r="U431" s="40"/>
      <c r="V431" s="40"/>
      <c r="W431" s="40"/>
      <c r="X431" s="40"/>
      <c r="Y431" s="40"/>
      <c r="Z431" s="40"/>
      <c r="AA431" s="40"/>
      <c r="AB431" s="40"/>
      <c r="AC431" s="40"/>
      <c r="AD431" s="40"/>
      <c r="AE431" s="40"/>
      <c r="AF431" s="40"/>
      <c r="AG431" s="40"/>
      <c r="AH431" s="40"/>
      <c r="AI431" s="40"/>
      <c r="AJ431" s="40"/>
      <c r="AK431" s="40"/>
      <c r="AL431" s="40"/>
      <c r="AM431" s="40"/>
      <c r="AN431" s="40"/>
      <c r="AO431" s="40"/>
      <c r="AP431" s="40"/>
      <c r="AQ431" s="40"/>
      <c r="AR431" s="40"/>
      <c r="AS431" s="40"/>
      <c r="AT431" s="40"/>
    </row>
    <row r="432" spans="4:46" ht="18" customHeight="1">
      <c r="D432" s="111"/>
      <c r="E432" s="111"/>
      <c r="F432" s="111"/>
      <c r="P432" s="40"/>
      <c r="Q432" s="40"/>
      <c r="R432" s="40"/>
      <c r="S432" s="40"/>
      <c r="T432" s="40"/>
      <c r="U432" s="40"/>
      <c r="V432" s="40"/>
      <c r="W432" s="40"/>
      <c r="X432" s="40"/>
      <c r="Y432" s="40"/>
      <c r="Z432" s="40"/>
      <c r="AA432" s="40"/>
      <c r="AB432" s="40"/>
      <c r="AC432" s="40"/>
      <c r="AD432" s="40"/>
      <c r="AE432" s="40"/>
      <c r="AF432" s="40"/>
      <c r="AG432" s="40"/>
      <c r="AH432" s="40"/>
      <c r="AI432" s="40"/>
      <c r="AJ432" s="40"/>
      <c r="AK432" s="40"/>
      <c r="AL432" s="40"/>
      <c r="AM432" s="40"/>
      <c r="AN432" s="40"/>
      <c r="AO432" s="40"/>
      <c r="AP432" s="40"/>
      <c r="AQ432" s="40"/>
      <c r="AR432" s="40"/>
      <c r="AS432" s="40"/>
      <c r="AT432" s="40"/>
    </row>
    <row r="433" spans="4:46" ht="18" customHeight="1">
      <c r="D433" s="111"/>
      <c r="E433" s="111"/>
      <c r="F433" s="111"/>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row>
    <row r="434" spans="4:46" ht="18" customHeight="1">
      <c r="D434" s="111"/>
      <c r="E434" s="111"/>
      <c r="F434" s="111"/>
      <c r="P434" s="40"/>
      <c r="Q434" s="40"/>
      <c r="R434" s="40"/>
      <c r="S434" s="40"/>
      <c r="T434" s="40"/>
      <c r="U434" s="40"/>
      <c r="V434" s="40"/>
      <c r="W434" s="40"/>
      <c r="X434" s="40"/>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row>
    <row r="435" spans="4:46" ht="18" customHeight="1">
      <c r="D435" s="111"/>
      <c r="E435" s="111"/>
      <c r="F435" s="111"/>
      <c r="P435" s="40"/>
      <c r="Q435" s="40"/>
      <c r="R435" s="40"/>
      <c r="S435" s="40"/>
      <c r="T435" s="40"/>
      <c r="U435" s="40"/>
      <c r="V435" s="40"/>
      <c r="W435" s="40"/>
      <c r="X435" s="40"/>
      <c r="Y435" s="40"/>
      <c r="Z435" s="40"/>
      <c r="AA435" s="40"/>
      <c r="AB435" s="40"/>
      <c r="AC435" s="40"/>
      <c r="AD435" s="40"/>
      <c r="AE435" s="40"/>
      <c r="AF435" s="40"/>
      <c r="AG435" s="40"/>
      <c r="AH435" s="40"/>
      <c r="AI435" s="40"/>
      <c r="AJ435" s="40"/>
      <c r="AK435" s="40"/>
      <c r="AL435" s="40"/>
      <c r="AM435" s="40"/>
      <c r="AN435" s="40"/>
      <c r="AO435" s="40"/>
      <c r="AP435" s="40"/>
      <c r="AQ435" s="40"/>
      <c r="AR435" s="40"/>
      <c r="AS435" s="40"/>
      <c r="AT435" s="40"/>
    </row>
    <row r="436" spans="4:46" ht="18" customHeight="1">
      <c r="D436" s="111"/>
      <c r="E436" s="111"/>
      <c r="F436" s="111"/>
      <c r="P436" s="40"/>
      <c r="Q436" s="40"/>
      <c r="R436" s="40"/>
      <c r="S436" s="40"/>
      <c r="T436" s="40"/>
      <c r="U436" s="40"/>
      <c r="V436" s="40"/>
      <c r="W436" s="40"/>
      <c r="X436" s="40"/>
      <c r="Y436" s="40"/>
      <c r="Z436" s="40"/>
      <c r="AA436" s="40"/>
      <c r="AB436" s="40"/>
      <c r="AC436" s="40"/>
      <c r="AD436" s="40"/>
      <c r="AE436" s="40"/>
      <c r="AF436" s="40"/>
      <c r="AG436" s="40"/>
      <c r="AH436" s="40"/>
      <c r="AI436" s="40"/>
      <c r="AJ436" s="40"/>
      <c r="AK436" s="40"/>
      <c r="AL436" s="40"/>
      <c r="AM436" s="40"/>
      <c r="AN436" s="40"/>
      <c r="AO436" s="40"/>
      <c r="AP436" s="40"/>
      <c r="AQ436" s="40"/>
      <c r="AR436" s="40"/>
      <c r="AS436" s="40"/>
      <c r="AT436" s="40"/>
    </row>
    <row r="437" spans="4:46" ht="18" customHeight="1">
      <c r="D437" s="111"/>
      <c r="E437" s="111"/>
      <c r="F437" s="111"/>
      <c r="P437" s="40"/>
      <c r="Q437" s="40"/>
      <c r="R437" s="40"/>
      <c r="S437" s="40"/>
      <c r="T437" s="40"/>
      <c r="U437" s="40"/>
      <c r="V437" s="40"/>
      <c r="W437" s="40"/>
      <c r="X437" s="40"/>
      <c r="Y437" s="40"/>
      <c r="Z437" s="40"/>
      <c r="AA437" s="40"/>
      <c r="AB437" s="40"/>
      <c r="AC437" s="40"/>
      <c r="AD437" s="40"/>
      <c r="AE437" s="40"/>
      <c r="AF437" s="40"/>
      <c r="AG437" s="40"/>
      <c r="AH437" s="40"/>
      <c r="AI437" s="40"/>
      <c r="AJ437" s="40"/>
      <c r="AK437" s="40"/>
      <c r="AL437" s="40"/>
      <c r="AM437" s="40"/>
      <c r="AN437" s="40"/>
      <c r="AO437" s="40"/>
      <c r="AP437" s="40"/>
      <c r="AQ437" s="40"/>
      <c r="AR437" s="40"/>
      <c r="AS437" s="40"/>
      <c r="AT437" s="40"/>
    </row>
    <row r="438" spans="4:46" ht="18" customHeight="1">
      <c r="D438" s="111"/>
      <c r="E438" s="111"/>
      <c r="F438" s="111"/>
      <c r="P438" s="40"/>
      <c r="Q438" s="40"/>
      <c r="R438" s="40"/>
      <c r="S438" s="40"/>
      <c r="T438" s="40"/>
      <c r="U438" s="40"/>
      <c r="V438" s="40"/>
      <c r="W438" s="40"/>
      <c r="X438" s="40"/>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row>
    <row r="439" spans="4:46" ht="18" customHeight="1">
      <c r="D439" s="111"/>
      <c r="E439" s="111"/>
      <c r="F439" s="111"/>
      <c r="P439" s="40"/>
      <c r="Q439" s="40"/>
      <c r="R439" s="40"/>
      <c r="S439" s="40"/>
      <c r="T439" s="40"/>
      <c r="U439" s="40"/>
      <c r="V439" s="40"/>
      <c r="W439" s="40"/>
      <c r="X439" s="40"/>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row>
    <row r="440" spans="4:46" ht="18" customHeight="1">
      <c r="D440" s="111"/>
      <c r="E440" s="111"/>
      <c r="F440" s="111"/>
      <c r="P440" s="40"/>
      <c r="Q440" s="40"/>
      <c r="R440" s="40"/>
      <c r="S440" s="40"/>
      <c r="T440" s="40"/>
      <c r="U440" s="40"/>
      <c r="V440" s="40"/>
      <c r="W440" s="40"/>
      <c r="X440" s="40"/>
      <c r="Y440" s="40"/>
      <c r="Z440" s="40"/>
      <c r="AA440" s="40"/>
      <c r="AB440" s="40"/>
      <c r="AC440" s="40"/>
      <c r="AD440" s="40"/>
      <c r="AE440" s="40"/>
      <c r="AF440" s="40"/>
      <c r="AG440" s="40"/>
      <c r="AH440" s="40"/>
      <c r="AI440" s="40"/>
      <c r="AJ440" s="40"/>
      <c r="AK440" s="40"/>
      <c r="AL440" s="40"/>
      <c r="AM440" s="40"/>
      <c r="AN440" s="40"/>
      <c r="AO440" s="40"/>
      <c r="AP440" s="40"/>
      <c r="AQ440" s="40"/>
      <c r="AR440" s="40"/>
      <c r="AS440" s="40"/>
      <c r="AT440" s="40"/>
    </row>
    <row r="441" spans="4:46" ht="18" customHeight="1">
      <c r="D441" s="111"/>
      <c r="E441" s="111"/>
      <c r="F441" s="111"/>
      <c r="P441" s="40"/>
      <c r="Q441" s="40"/>
      <c r="R441" s="40"/>
      <c r="S441" s="40"/>
      <c r="T441" s="40"/>
      <c r="U441" s="40"/>
      <c r="V441" s="40"/>
      <c r="W441" s="40"/>
      <c r="X441" s="40"/>
      <c r="Y441" s="40"/>
      <c r="Z441" s="40"/>
      <c r="AA441" s="40"/>
      <c r="AB441" s="40"/>
      <c r="AC441" s="40"/>
      <c r="AD441" s="40"/>
      <c r="AE441" s="40"/>
      <c r="AF441" s="40"/>
      <c r="AG441" s="40"/>
      <c r="AH441" s="40"/>
      <c r="AI441" s="40"/>
      <c r="AJ441" s="40"/>
      <c r="AK441" s="40"/>
      <c r="AL441" s="40"/>
      <c r="AM441" s="40"/>
      <c r="AN441" s="40"/>
      <c r="AO441" s="40"/>
      <c r="AP441" s="40"/>
      <c r="AQ441" s="40"/>
      <c r="AR441" s="40"/>
      <c r="AS441" s="40"/>
      <c r="AT441" s="40"/>
    </row>
    <row r="442" spans="4:46" ht="18" customHeight="1">
      <c r="D442" s="111"/>
      <c r="E442" s="111"/>
      <c r="F442" s="111"/>
      <c r="P442" s="40"/>
      <c r="Q442" s="40"/>
      <c r="R442" s="40"/>
      <c r="S442" s="40"/>
      <c r="T442" s="40"/>
      <c r="U442" s="40"/>
      <c r="V442" s="40"/>
      <c r="W442" s="40"/>
      <c r="X442" s="40"/>
      <c r="Y442" s="40"/>
      <c r="Z442" s="40"/>
      <c r="AA442" s="40"/>
      <c r="AB442" s="40"/>
      <c r="AC442" s="40"/>
      <c r="AD442" s="40"/>
      <c r="AE442" s="40"/>
      <c r="AF442" s="40"/>
      <c r="AG442" s="40"/>
      <c r="AH442" s="40"/>
      <c r="AI442" s="40"/>
      <c r="AJ442" s="40"/>
      <c r="AK442" s="40"/>
      <c r="AL442" s="40"/>
      <c r="AM442" s="40"/>
      <c r="AN442" s="40"/>
      <c r="AO442" s="40"/>
      <c r="AP442" s="40"/>
      <c r="AQ442" s="40"/>
      <c r="AR442" s="40"/>
      <c r="AS442" s="40"/>
      <c r="AT442" s="40"/>
    </row>
    <row r="443" spans="4:46" ht="18" customHeight="1">
      <c r="D443" s="111"/>
      <c r="E443" s="111"/>
      <c r="F443" s="111"/>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row>
    <row r="444" spans="4:46" ht="18" customHeight="1">
      <c r="D444" s="111"/>
      <c r="E444" s="111"/>
      <c r="F444" s="111"/>
      <c r="P444" s="40"/>
      <c r="Q444" s="40"/>
      <c r="R444" s="40"/>
      <c r="S444" s="40"/>
      <c r="T444" s="40"/>
      <c r="U444" s="40"/>
      <c r="V444" s="40"/>
      <c r="W444" s="40"/>
      <c r="X444" s="40"/>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row>
    <row r="445" spans="4:46" ht="18" customHeight="1">
      <c r="D445" s="111"/>
      <c r="E445" s="111"/>
      <c r="F445" s="111"/>
      <c r="P445" s="40"/>
      <c r="Q445" s="40"/>
      <c r="R445" s="40"/>
      <c r="S445" s="40"/>
      <c r="T445" s="40"/>
      <c r="U445" s="40"/>
      <c r="V445" s="40"/>
      <c r="W445" s="40"/>
      <c r="X445" s="40"/>
      <c r="Y445" s="40"/>
      <c r="Z445" s="40"/>
      <c r="AA445" s="40"/>
      <c r="AB445" s="40"/>
      <c r="AC445" s="40"/>
      <c r="AD445" s="40"/>
      <c r="AE445" s="40"/>
      <c r="AF445" s="40"/>
      <c r="AG445" s="40"/>
      <c r="AH445" s="40"/>
      <c r="AI445" s="40"/>
      <c r="AJ445" s="40"/>
      <c r="AK445" s="40"/>
      <c r="AL445" s="40"/>
      <c r="AM445" s="40"/>
      <c r="AN445" s="40"/>
      <c r="AO445" s="40"/>
      <c r="AP445" s="40"/>
      <c r="AQ445" s="40"/>
      <c r="AR445" s="40"/>
      <c r="AS445" s="40"/>
      <c r="AT445" s="40"/>
    </row>
    <row r="446" spans="4:46" ht="18" customHeight="1">
      <c r="D446" s="111"/>
      <c r="E446" s="111"/>
      <c r="F446" s="111"/>
      <c r="P446" s="40"/>
      <c r="Q446" s="40"/>
      <c r="R446" s="40"/>
      <c r="S446" s="40"/>
      <c r="T446" s="40"/>
      <c r="U446" s="40"/>
      <c r="V446" s="40"/>
      <c r="W446" s="40"/>
      <c r="X446" s="40"/>
      <c r="Y446" s="40"/>
      <c r="Z446" s="40"/>
      <c r="AA446" s="40"/>
      <c r="AB446" s="40"/>
      <c r="AC446" s="40"/>
      <c r="AD446" s="40"/>
      <c r="AE446" s="40"/>
      <c r="AF446" s="40"/>
      <c r="AG446" s="40"/>
      <c r="AH446" s="40"/>
      <c r="AI446" s="40"/>
      <c r="AJ446" s="40"/>
      <c r="AK446" s="40"/>
      <c r="AL446" s="40"/>
      <c r="AM446" s="40"/>
      <c r="AN446" s="40"/>
      <c r="AO446" s="40"/>
      <c r="AP446" s="40"/>
      <c r="AQ446" s="40"/>
      <c r="AR446" s="40"/>
      <c r="AS446" s="40"/>
      <c r="AT446" s="40"/>
    </row>
    <row r="447" spans="4:46" ht="18" customHeight="1">
      <c r="D447" s="111"/>
      <c r="E447" s="111"/>
      <c r="F447" s="111"/>
      <c r="P447" s="40"/>
      <c r="Q447" s="40"/>
      <c r="R447" s="40"/>
      <c r="S447" s="40"/>
      <c r="T447" s="40"/>
      <c r="U447" s="40"/>
      <c r="V447" s="40"/>
      <c r="W447" s="40"/>
      <c r="X447" s="40"/>
      <c r="Y447" s="40"/>
      <c r="Z447" s="40"/>
      <c r="AA447" s="40"/>
      <c r="AB447" s="40"/>
      <c r="AC447" s="40"/>
      <c r="AD447" s="40"/>
      <c r="AE447" s="40"/>
      <c r="AF447" s="40"/>
      <c r="AG447" s="40"/>
      <c r="AH447" s="40"/>
      <c r="AI447" s="40"/>
      <c r="AJ447" s="40"/>
      <c r="AK447" s="40"/>
      <c r="AL447" s="40"/>
      <c r="AM447" s="40"/>
      <c r="AN447" s="40"/>
      <c r="AO447" s="40"/>
      <c r="AP447" s="40"/>
      <c r="AQ447" s="40"/>
      <c r="AR447" s="40"/>
      <c r="AS447" s="40"/>
      <c r="AT447" s="40"/>
    </row>
  </sheetData>
  <mergeCells count="26">
    <mergeCell ref="F88:G88"/>
    <mergeCell ref="D288:E288"/>
    <mergeCell ref="F89:G89"/>
    <mergeCell ref="C271:E271"/>
    <mergeCell ref="C164:E164"/>
    <mergeCell ref="F90:G90"/>
    <mergeCell ref="C283:E283"/>
    <mergeCell ref="C155:E155"/>
    <mergeCell ref="C275:E275"/>
    <mergeCell ref="C180:E180"/>
    <mergeCell ref="C39:E39"/>
    <mergeCell ref="F2:I3"/>
    <mergeCell ref="C156:E156"/>
    <mergeCell ref="C143:E143"/>
    <mergeCell ref="C137:E137"/>
    <mergeCell ref="C82:D82"/>
    <mergeCell ref="C93:D93"/>
    <mergeCell ref="C104:D104"/>
    <mergeCell ref="C107:D107"/>
    <mergeCell ref="C75:D75"/>
    <mergeCell ref="C13:D13"/>
    <mergeCell ref="C59:D59"/>
    <mergeCell ref="C68:D68"/>
    <mergeCell ref="C71:D71"/>
    <mergeCell ref="F86:G86"/>
    <mergeCell ref="F87:G87"/>
  </mergeCells>
  <phoneticPr fontId="14" type="noConversion"/>
  <conditionalFormatting sqref="H100">
    <cfRule type="containsText" dxfId="8" priority="3" operator="containsText" text="IDC">
      <formula>NOT(ISERROR(SEARCH("IDC",H100)))</formula>
    </cfRule>
  </conditionalFormatting>
  <conditionalFormatting sqref="F144">
    <cfRule type="containsText" dxfId="7" priority="2" operator="containsText" text="IDC">
      <formula>NOT(ISERROR(SEARCH("IDC",F144)))</formula>
    </cfRule>
  </conditionalFormatting>
  <conditionalFormatting sqref="H111">
    <cfRule type="containsText" dxfId="6" priority="1" operator="containsText" text="rate">
      <formula>NOT(ISERROR(SEARCH("rate",H111)))</formula>
    </cfRule>
  </conditionalFormatting>
  <printOptions horizontalCentered="1" verticalCentered="1" gridLinesSet="0"/>
  <pageMargins left="0.44" right="0.44" top="1" bottom="1" header="0.5" footer="0.5"/>
  <pageSetup scale="60" fitToHeight="18" orientation="portrait" horizontalDpi="4294967292" verticalDpi="144" r:id="rId1"/>
  <headerFooter alignWithMargins="0"/>
  <colBreaks count="1" manualBreakCount="1">
    <brk id="2"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G63"/>
  <sheetViews>
    <sheetView showGridLines="0" topLeftCell="A22" zoomScale="80" zoomScaleNormal="80" workbookViewId="0">
      <selection activeCell="O30" sqref="O30"/>
    </sheetView>
  </sheetViews>
  <sheetFormatPr defaultColWidth="8.83203125" defaultRowHeight="15.6"/>
  <cols>
    <col min="1" max="1" width="1" style="41" customWidth="1"/>
    <col min="2" max="2" width="11.08203125" style="41" customWidth="1"/>
    <col min="3" max="5" width="10.6640625" style="41" customWidth="1"/>
    <col min="6" max="6" width="5.6640625" style="40" customWidth="1"/>
    <col min="7" max="7" width="23.08203125" style="40" customWidth="1"/>
    <col min="8" max="8" width="13.5" style="40" customWidth="1"/>
    <col min="9" max="9" width="1.5" style="40" customWidth="1"/>
    <col min="10" max="10" width="1.33203125" style="40" customWidth="1"/>
    <col min="11" max="11" width="26.58203125" style="40" customWidth="1"/>
    <col min="12" max="12" width="13.58203125" style="40" customWidth="1"/>
    <col min="13" max="13" width="5.6640625" style="40" customWidth="1"/>
    <col min="14" max="14" width="25.6640625" style="40" customWidth="1"/>
    <col min="15" max="15" width="12.6640625" style="40" customWidth="1"/>
    <col min="16" max="16" width="1.5" style="40" customWidth="1"/>
    <col min="17" max="17" width="7.1640625" style="41" customWidth="1"/>
    <col min="18" max="18" width="4.33203125" style="41" customWidth="1"/>
    <col min="19" max="19" width="16.9140625" style="41" customWidth="1"/>
    <col min="20" max="20" width="8.08203125" style="41" customWidth="1"/>
    <col min="21" max="21" width="4.33203125" style="41" customWidth="1"/>
    <col min="22" max="22" width="16.6640625" style="41" customWidth="1"/>
    <col min="23" max="23" width="8.1640625" style="41" customWidth="1"/>
    <col min="24" max="16384" width="8.83203125" style="41"/>
  </cols>
  <sheetData>
    <row r="1" spans="2:23" ht="29.25" customHeight="1">
      <c r="B1" s="39"/>
      <c r="C1" s="39"/>
      <c r="D1" s="39"/>
      <c r="E1" s="39"/>
      <c r="Q1" s="40"/>
    </row>
    <row r="2" spans="2:23" ht="36.6">
      <c r="B2" s="408" t="str">
        <f>"CLOSING WORKSHEET FOR BUDGET "&amp;Input!D16</f>
        <v>CLOSING WORKSHEET FOR BUDGET 62-7032</v>
      </c>
      <c r="C2" s="409"/>
      <c r="D2" s="409"/>
      <c r="E2" s="409"/>
      <c r="F2" s="409"/>
      <c r="G2" s="409"/>
      <c r="H2" s="410"/>
      <c r="I2" s="42"/>
      <c r="J2" s="43"/>
      <c r="K2" s="408" t="str">
        <f>"CLOSING WORKSHEET FOR BUDGET "&amp;Input!D16</f>
        <v>CLOSING WORKSHEET FOR BUDGET 62-7032</v>
      </c>
      <c r="L2" s="409"/>
      <c r="M2" s="409"/>
      <c r="N2" s="409"/>
      <c r="O2" s="410"/>
      <c r="P2" s="44"/>
      <c r="Q2" s="44"/>
      <c r="R2" s="40"/>
      <c r="S2" s="40"/>
      <c r="T2" s="40"/>
      <c r="U2" s="40"/>
      <c r="V2" s="40"/>
      <c r="W2" s="40"/>
    </row>
    <row r="3" spans="2:23" ht="14.25" customHeight="1">
      <c r="B3" s="45"/>
      <c r="C3" s="46"/>
      <c r="D3" s="46"/>
      <c r="E3" s="46"/>
      <c r="F3" s="46"/>
      <c r="G3" s="46"/>
      <c r="H3" s="46"/>
      <c r="I3" s="42"/>
      <c r="J3" s="43"/>
      <c r="K3" s="45"/>
      <c r="L3" s="46"/>
      <c r="M3" s="46"/>
      <c r="N3" s="46"/>
      <c r="O3" s="46"/>
      <c r="P3" s="44"/>
      <c r="Q3" s="44"/>
      <c r="R3" s="40"/>
      <c r="S3" s="40"/>
      <c r="T3" s="40"/>
      <c r="U3" s="40"/>
      <c r="V3" s="40"/>
      <c r="W3" s="40"/>
    </row>
    <row r="4" spans="2:23">
      <c r="B4" s="47"/>
      <c r="C4" s="47"/>
      <c r="D4" s="47"/>
      <c r="E4" s="47"/>
      <c r="K4" s="48"/>
      <c r="L4" s="49"/>
      <c r="Q4" s="40"/>
      <c r="R4" s="40"/>
      <c r="S4" s="40"/>
      <c r="T4" s="40"/>
      <c r="U4" s="40"/>
      <c r="V4" s="40"/>
      <c r="W4" s="40"/>
    </row>
    <row r="5" spans="2:23">
      <c r="B5" s="411" t="s">
        <v>161</v>
      </c>
      <c r="C5" s="412"/>
      <c r="D5" s="412"/>
      <c r="E5" s="413"/>
      <c r="G5" s="414">
        <f>Input!D76</f>
        <v>42849</v>
      </c>
      <c r="H5" s="413"/>
      <c r="K5" s="415" t="s">
        <v>162</v>
      </c>
      <c r="L5" s="413"/>
      <c r="N5" s="411" t="s">
        <v>406</v>
      </c>
      <c r="O5" s="413"/>
      <c r="Q5" s="40"/>
      <c r="R5" s="40"/>
      <c r="S5" s="40"/>
      <c r="T5" s="40"/>
      <c r="U5" s="40"/>
      <c r="V5" s="40"/>
      <c r="W5" s="40"/>
    </row>
    <row r="6" spans="2:23">
      <c r="B6" s="40"/>
      <c r="C6" s="40"/>
      <c r="D6" s="40"/>
      <c r="E6" s="40"/>
      <c r="N6" s="53" t="s">
        <v>405</v>
      </c>
      <c r="O6" s="54">
        <f>Input!D105</f>
        <v>109867</v>
      </c>
      <c r="Q6" s="40"/>
      <c r="R6" s="40"/>
      <c r="S6" s="40"/>
      <c r="T6" s="40"/>
      <c r="U6" s="40"/>
      <c r="V6" s="40"/>
      <c r="W6" s="40"/>
    </row>
    <row r="7" spans="2:23">
      <c r="B7" s="40"/>
      <c r="C7" s="55" t="s">
        <v>19</v>
      </c>
      <c r="D7" s="40" t="str">
        <f>Input!D22</f>
        <v xml:space="preserve">SUMMER R25            </v>
      </c>
      <c r="E7" s="40"/>
      <c r="G7" s="50" t="s">
        <v>163</v>
      </c>
      <c r="H7" s="56"/>
      <c r="K7" s="57" t="s">
        <v>164</v>
      </c>
      <c r="L7" s="58">
        <f>-Input!$D$77</f>
        <v>26811.279999999999</v>
      </c>
      <c r="Q7" s="40"/>
      <c r="R7" s="40"/>
      <c r="S7" s="40"/>
      <c r="T7" s="40"/>
      <c r="U7" s="40"/>
      <c r="V7" s="40"/>
      <c r="W7" s="40"/>
    </row>
    <row r="8" spans="2:23">
      <c r="B8" s="40"/>
      <c r="C8" s="55" t="s">
        <v>165</v>
      </c>
      <c r="D8" s="59" t="str">
        <f>MONTH(Input!D62)&amp;"/"&amp;DAY(Input!D62)&amp;"/"&amp;YEAR(Input!D62)&amp;" - "&amp;MONTH(Input!D24)&amp;"/"&amp;DAY(Input!D24)&amp;"/"&amp;YEAR(Input!D24)</f>
        <v>9/30/2015 - 8/31/2016</v>
      </c>
      <c r="E8" s="40"/>
      <c r="G8" s="53" t="s">
        <v>394</v>
      </c>
      <c r="H8" s="60">
        <f>Input!$D$80</f>
        <v>109867</v>
      </c>
      <c r="K8" s="61" t="str">
        <f>IF(L8&lt;&gt;0,"GABS Adjustment",".")</f>
        <v>.</v>
      </c>
      <c r="L8" s="62">
        <f>-Input!E49</f>
        <v>0</v>
      </c>
      <c r="N8" s="63" t="s">
        <v>166</v>
      </c>
      <c r="O8" s="64"/>
      <c r="Q8" s="40"/>
      <c r="R8" s="40"/>
      <c r="S8" s="40"/>
      <c r="T8" s="40"/>
      <c r="U8" s="40"/>
      <c r="V8" s="40"/>
      <c r="W8" s="40"/>
    </row>
    <row r="9" spans="2:23">
      <c r="B9" s="40"/>
      <c r="C9" s="55" t="s">
        <v>167</v>
      </c>
      <c r="D9" s="65">
        <f>Input!D19</f>
        <v>0.08</v>
      </c>
      <c r="E9" s="40"/>
      <c r="G9" s="53" t="s">
        <v>168</v>
      </c>
      <c r="H9" s="60">
        <f>E42</f>
        <v>0</v>
      </c>
      <c r="K9" s="66" t="str">
        <f>IF(L9&lt;&gt;0,Input!$C$115,".")</f>
        <v>.</v>
      </c>
      <c r="L9" s="62">
        <f>-Input!$D$115</f>
        <v>0</v>
      </c>
      <c r="Q9" s="40"/>
      <c r="R9" s="40"/>
      <c r="S9" s="40"/>
      <c r="T9" s="40"/>
      <c r="U9" s="40"/>
      <c r="V9" s="40"/>
      <c r="W9" s="40"/>
    </row>
    <row r="10" spans="2:23">
      <c r="B10" s="40"/>
      <c r="C10" s="55" t="s">
        <v>14</v>
      </c>
      <c r="D10" s="40" t="str">
        <f>Input!D17</f>
        <v>61-1620</v>
      </c>
      <c r="E10" s="40"/>
      <c r="G10" s="53" t="s">
        <v>170</v>
      </c>
      <c r="H10" s="60">
        <f>E47*-1</f>
        <v>-26811.279999999999</v>
      </c>
      <c r="K10" s="66" t="str">
        <f>IF(L10&lt;&gt;0,Input!$C$115,".")</f>
        <v>.</v>
      </c>
      <c r="L10" s="62">
        <f>-Input!$E$115</f>
        <v>0</v>
      </c>
      <c r="N10" s="67" t="s">
        <v>407</v>
      </c>
      <c r="O10" s="68">
        <f>Input!$D$105</f>
        <v>109867</v>
      </c>
      <c r="Q10" s="40"/>
      <c r="R10" s="40"/>
      <c r="S10" s="40"/>
      <c r="T10" s="40"/>
      <c r="U10" s="40"/>
      <c r="V10" s="40"/>
      <c r="W10" s="40"/>
    </row>
    <row r="11" spans="2:23" ht="16.2" thickBot="1">
      <c r="B11" s="40"/>
      <c r="C11" s="55" t="s">
        <v>169</v>
      </c>
      <c r="D11" s="65">
        <f>Input!D69</f>
        <v>0.08</v>
      </c>
      <c r="E11" s="40"/>
      <c r="G11" s="53" t="s">
        <v>172</v>
      </c>
      <c r="H11" s="60">
        <f>O36*-1</f>
        <v>0</v>
      </c>
      <c r="K11" s="66" t="str">
        <f>IF(L11&lt;&gt;0,Input!$C$116,".")</f>
        <v>.</v>
      </c>
      <c r="L11" s="62">
        <f>-Input!$D$116</f>
        <v>0</v>
      </c>
      <c r="N11" s="69" t="s">
        <v>171</v>
      </c>
      <c r="O11" s="68">
        <f>Input!D111</f>
        <v>0</v>
      </c>
      <c r="Q11" s="40"/>
      <c r="R11" s="40"/>
      <c r="S11" s="40"/>
      <c r="T11" s="40"/>
      <c r="U11" s="40"/>
      <c r="V11" s="40"/>
      <c r="W11" s="40"/>
    </row>
    <row r="12" spans="2:23" ht="16.8" thickTop="1" thickBot="1">
      <c r="B12" s="40"/>
      <c r="C12" s="55" t="s">
        <v>15</v>
      </c>
      <c r="D12" s="40" t="str">
        <f>Input!D18</f>
        <v>00-0000</v>
      </c>
      <c r="E12" s="40"/>
      <c r="G12" s="67" t="s">
        <v>173</v>
      </c>
      <c r="H12" s="68">
        <f>-E56</f>
        <v>0</v>
      </c>
      <c r="K12" s="66" t="str">
        <f>IF(L12&lt;&gt;0,Input!$C$116,".")</f>
        <v>.</v>
      </c>
      <c r="L12" s="62">
        <f>-Input!$E$116</f>
        <v>0</v>
      </c>
      <c r="N12" s="67" t="s">
        <v>72</v>
      </c>
      <c r="O12" s="70">
        <f>SUM(O10:O11)</f>
        <v>109867</v>
      </c>
      <c r="Q12" s="40"/>
      <c r="R12" s="40"/>
      <c r="S12" s="40"/>
      <c r="T12" s="40"/>
      <c r="U12" s="40"/>
      <c r="V12" s="40"/>
      <c r="W12" s="40"/>
    </row>
    <row r="13" spans="2:23" ht="16.8" thickTop="1" thickBot="1">
      <c r="B13" s="40"/>
      <c r="C13" s="55" t="s">
        <v>157</v>
      </c>
      <c r="D13" s="40" t="str">
        <f>Input!D21</f>
        <v xml:space="preserve">NATL INST-OF-HEALTH    </v>
      </c>
      <c r="E13" s="40"/>
      <c r="G13" s="53" t="s">
        <v>175</v>
      </c>
      <c r="H13" s="71">
        <f>SUM(H8:H12)</f>
        <v>83055.72</v>
      </c>
      <c r="K13" s="61" t="str">
        <f>IF(L13&lt;&gt;0,Input!$C$117,".")</f>
        <v>.</v>
      </c>
      <c r="L13" s="62">
        <f>-Input!$D$117</f>
        <v>0</v>
      </c>
      <c r="N13" s="67" t="s">
        <v>174</v>
      </c>
      <c r="O13" s="70">
        <f>Input!$D$108+Input!$D$109</f>
        <v>109867</v>
      </c>
      <c r="Q13" s="40"/>
      <c r="R13" s="40"/>
      <c r="S13" s="40"/>
      <c r="T13" s="40"/>
      <c r="U13" s="40"/>
      <c r="V13" s="40"/>
      <c r="W13" s="40"/>
    </row>
    <row r="14" spans="2:23" ht="16.2" thickTop="1">
      <c r="B14" s="40"/>
      <c r="C14" s="55" t="s">
        <v>25</v>
      </c>
      <c r="D14" s="40" t="str">
        <f>Input!D27</f>
        <v>3 R25 NS 095377-01S1</v>
      </c>
      <c r="E14" s="40"/>
      <c r="K14" s="61" t="str">
        <f>IF(L14&lt;&gt;0,Input!$C$117,".")</f>
        <v>.</v>
      </c>
      <c r="L14" s="62">
        <f>-Input!$E$117</f>
        <v>0</v>
      </c>
      <c r="N14" s="53" t="s">
        <v>176</v>
      </c>
      <c r="O14" s="60">
        <f>Input!$D$96+Input!$D$97</f>
        <v>0</v>
      </c>
      <c r="Q14" s="40"/>
      <c r="R14" s="40"/>
      <c r="S14" s="40"/>
      <c r="T14" s="40"/>
      <c r="U14" s="40"/>
      <c r="V14" s="40"/>
      <c r="W14" s="40"/>
    </row>
    <row r="15" spans="2:23">
      <c r="B15" s="40"/>
      <c r="C15" s="55" t="s">
        <v>38</v>
      </c>
      <c r="D15" s="40" t="str">
        <f>Input!D61</f>
        <v>YES</v>
      </c>
      <c r="E15" s="40"/>
      <c r="G15" s="63" t="s">
        <v>178</v>
      </c>
      <c r="H15" s="56"/>
      <c r="K15" s="61" t="str">
        <f>IF(L15&lt;&gt;0,Input!$C$118,".")</f>
        <v>.</v>
      </c>
      <c r="L15" s="62">
        <f>-Input!$D$118</f>
        <v>0</v>
      </c>
      <c r="N15" s="72" t="s">
        <v>177</v>
      </c>
      <c r="O15" s="60">
        <f>Input!$D$94+Input!$D$95</f>
        <v>0</v>
      </c>
      <c r="Q15" s="40"/>
      <c r="R15" s="40"/>
      <c r="S15" s="40"/>
      <c r="T15" s="40"/>
      <c r="U15" s="40"/>
      <c r="V15" s="40"/>
      <c r="W15" s="40"/>
    </row>
    <row r="16" spans="2:23" ht="16.2" thickBot="1">
      <c r="B16" s="40"/>
      <c r="C16" s="55" t="s">
        <v>37</v>
      </c>
      <c r="D16" s="73" t="str">
        <f>Input!D60</f>
        <v xml:space="preserve">NO </v>
      </c>
      <c r="E16" s="40"/>
      <c r="G16" s="53" t="s">
        <v>394</v>
      </c>
      <c r="H16" s="60">
        <f>Input!$D$80*-1</f>
        <v>-109867</v>
      </c>
      <c r="K16" s="61" t="str">
        <f>IF(L16&lt;&gt;0,Input!$C$118,".")</f>
        <v>.</v>
      </c>
      <c r="L16" s="62">
        <f>-Input!$E$118</f>
        <v>0</v>
      </c>
      <c r="N16" s="53" t="s">
        <v>179</v>
      </c>
      <c r="O16" s="60">
        <f>Input!$D$98</f>
        <v>0</v>
      </c>
      <c r="Q16" s="40"/>
      <c r="R16" s="40"/>
      <c r="S16" s="40"/>
      <c r="T16" s="40"/>
      <c r="U16" s="40"/>
      <c r="V16" s="40"/>
      <c r="W16" s="40"/>
    </row>
    <row r="17" spans="1:33" ht="16.8" thickTop="1" thickBot="1">
      <c r="B17" s="40"/>
      <c r="C17" s="55" t="s">
        <v>180</v>
      </c>
      <c r="D17" s="40" t="str">
        <f>Input!D29</f>
        <v>NO</v>
      </c>
      <c r="E17" s="40"/>
      <c r="G17" s="53" t="s">
        <v>183</v>
      </c>
      <c r="H17" s="60">
        <f>E50+E52+E56-E42</f>
        <v>26811.279999999999</v>
      </c>
      <c r="K17" s="74" t="str">
        <f>IF(L17&lt;&gt;0,Input!$C$125,".")</f>
        <v>.</v>
      </c>
      <c r="L17" s="62">
        <f>Input!$D$125</f>
        <v>0</v>
      </c>
      <c r="N17" s="67" t="s">
        <v>181</v>
      </c>
      <c r="O17" s="70">
        <f>SUM(O13:O16)</f>
        <v>109867</v>
      </c>
      <c r="Q17" s="40"/>
      <c r="R17" s="40"/>
      <c r="S17" s="40"/>
      <c r="T17" s="40"/>
      <c r="U17" s="40"/>
      <c r="V17" s="40"/>
      <c r="W17" s="40"/>
    </row>
    <row r="18" spans="1:33" ht="16.8" thickTop="1" thickBot="1">
      <c r="B18" s="40"/>
      <c r="C18" s="55" t="s">
        <v>182</v>
      </c>
      <c r="D18" s="40" t="str">
        <f>Input!D32</f>
        <v>ELLENBOGEN, RICHARD G.</v>
      </c>
      <c r="E18" s="40"/>
      <c r="G18" s="53" t="s">
        <v>175</v>
      </c>
      <c r="H18" s="71">
        <f>SUM(H16:H17)</f>
        <v>-83055.72</v>
      </c>
      <c r="K18" s="74" t="str">
        <f>IF(L18&lt;&gt;0,Input!$C$125,".")</f>
        <v>.</v>
      </c>
      <c r="L18" s="62">
        <f>Input!$E$125</f>
        <v>0</v>
      </c>
      <c r="N18" s="53" t="s">
        <v>395</v>
      </c>
      <c r="O18" s="75">
        <f>O20+O19</f>
        <v>109867</v>
      </c>
      <c r="Q18" s="40"/>
      <c r="R18" s="40"/>
      <c r="S18" s="40"/>
      <c r="T18" s="40"/>
      <c r="U18" s="40"/>
      <c r="V18" s="40"/>
      <c r="W18" s="40"/>
    </row>
    <row r="19" spans="1:33" ht="16.2" thickTop="1">
      <c r="B19" s="40"/>
      <c r="C19" s="55" t="s">
        <v>155</v>
      </c>
      <c r="D19" s="40" t="str">
        <f>Input!D30</f>
        <v>NEUROLOGICAL SURGERY</v>
      </c>
      <c r="E19" s="40"/>
      <c r="K19" s="74" t="str">
        <f>IF(L19&lt;&gt;0,Input!$C$126,".")</f>
        <v>.</v>
      </c>
      <c r="L19" s="62">
        <f>Input!$D$126</f>
        <v>0</v>
      </c>
      <c r="N19" s="53" t="s">
        <v>184</v>
      </c>
      <c r="O19" s="60">
        <f>-Input!$E$49</f>
        <v>0</v>
      </c>
      <c r="Q19" s="40"/>
      <c r="R19" s="40"/>
      <c r="S19" s="40"/>
      <c r="T19" s="40"/>
      <c r="U19" s="40"/>
      <c r="V19" s="40"/>
      <c r="W19" s="40"/>
    </row>
    <row r="20" spans="1:33">
      <c r="B20" s="40"/>
      <c r="C20" s="55"/>
      <c r="D20" s="40"/>
      <c r="E20" s="40"/>
      <c r="G20" s="50" t="s">
        <v>186</v>
      </c>
      <c r="H20" s="56"/>
      <c r="K20" s="74" t="str">
        <f>IF(L20&lt;&gt;0,Input!$C$126,".")</f>
        <v>.</v>
      </c>
      <c r="L20" s="62">
        <f>Input!$E$126</f>
        <v>0</v>
      </c>
      <c r="N20" s="53" t="s">
        <v>396</v>
      </c>
      <c r="O20" s="60">
        <f>Input!$D$80</f>
        <v>109867</v>
      </c>
      <c r="Q20" s="40"/>
      <c r="R20" s="40"/>
      <c r="S20" s="40"/>
      <c r="T20" s="40"/>
      <c r="U20" s="40"/>
      <c r="V20" s="40"/>
      <c r="W20" s="40"/>
    </row>
    <row r="21" spans="1:33" ht="16.2" thickBot="1">
      <c r="B21" s="411" t="s">
        <v>185</v>
      </c>
      <c r="C21" s="412"/>
      <c r="D21" s="412"/>
      <c r="E21" s="413"/>
      <c r="G21" s="53" t="s">
        <v>394</v>
      </c>
      <c r="H21" s="60">
        <f>Input!$D$78+Input!$D$79</f>
        <v>83055.72</v>
      </c>
      <c r="K21" s="61" t="str">
        <f>IF(L21&lt;&gt;0,Input!$C$127,".")</f>
        <v>.</v>
      </c>
      <c r="L21" s="62">
        <f>Input!$D$127</f>
        <v>0</v>
      </c>
      <c r="Q21" s="40"/>
      <c r="R21" s="40"/>
      <c r="S21" s="40"/>
      <c r="T21" s="40"/>
      <c r="U21" s="40"/>
      <c r="V21" s="40"/>
      <c r="W21" s="40"/>
    </row>
    <row r="22" spans="1:33" ht="16.8" thickTop="1" thickBot="1">
      <c r="B22" s="40"/>
      <c r="C22" s="40"/>
      <c r="D22" s="40"/>
      <c r="E22" s="40"/>
      <c r="G22" s="53" t="s">
        <v>190</v>
      </c>
      <c r="H22" s="60">
        <f>Input!$E$120</f>
        <v>0</v>
      </c>
      <c r="K22" s="61" t="str">
        <f>IF(L22&lt;&gt;0,Input!$C$127,".")</f>
        <v>.</v>
      </c>
      <c r="L22" s="62">
        <f>Input!$E$127</f>
        <v>0</v>
      </c>
      <c r="N22" s="76" t="s">
        <v>187</v>
      </c>
      <c r="O22" s="77">
        <f>E43</f>
        <v>26811.279999999999</v>
      </c>
      <c r="Q22" s="40"/>
      <c r="R22" s="40"/>
      <c r="S22" s="40"/>
      <c r="T22" s="40"/>
      <c r="U22" s="40"/>
      <c r="V22" s="40"/>
      <c r="W22" s="40"/>
    </row>
    <row r="23" spans="1:33" ht="16.8" thickTop="1" thickBot="1">
      <c r="B23" s="68"/>
      <c r="C23" s="78" t="s">
        <v>188</v>
      </c>
      <c r="D23" s="78" t="s">
        <v>189</v>
      </c>
      <c r="E23" s="79" t="s">
        <v>98</v>
      </c>
      <c r="G23" s="53" t="s">
        <v>193</v>
      </c>
      <c r="H23" s="60">
        <f>-Input!$E$130-E54+-E38</f>
        <v>0</v>
      </c>
      <c r="K23" s="61" t="str">
        <f>IF(L23&lt;&gt;0,Input!$C$128,".")</f>
        <v>.</v>
      </c>
      <c r="L23" s="62">
        <f>Input!$D$128</f>
        <v>0</v>
      </c>
      <c r="N23" s="76" t="s">
        <v>366</v>
      </c>
      <c r="O23" s="77">
        <f>(Input!$D$112+Input!$E$147+Input!$E$140)-((Input!$E$144+-Reconciliation!$E$39)+Input!$C$251)</f>
        <v>26811.279999999999</v>
      </c>
      <c r="Q23" s="40"/>
      <c r="R23" s="40"/>
      <c r="S23" s="40"/>
      <c r="T23" s="40"/>
      <c r="U23" s="40"/>
      <c r="V23" s="40"/>
      <c r="W23" s="40"/>
    </row>
    <row r="24" spans="1:33" ht="16.8" thickTop="1" thickBot="1">
      <c r="B24" s="80" t="s">
        <v>192</v>
      </c>
      <c r="C24" s="81">
        <f>Input!$D$108</f>
        <v>101729</v>
      </c>
      <c r="D24" s="81">
        <f>Input!$D$109</f>
        <v>8138</v>
      </c>
      <c r="E24" s="58">
        <f>SUM(C24:D24)</f>
        <v>109867</v>
      </c>
      <c r="G24" s="53" t="s">
        <v>195</v>
      </c>
      <c r="H24" s="82">
        <v>0</v>
      </c>
      <c r="K24" s="61" t="str">
        <f>IF(L24&lt;&gt;0,Input!$C$128,".")</f>
        <v>.</v>
      </c>
      <c r="L24" s="62">
        <f>Input!$E$128</f>
        <v>0</v>
      </c>
      <c r="N24" s="76" t="s">
        <v>191</v>
      </c>
      <c r="O24" s="77">
        <f>L33</f>
        <v>26811.279999999999</v>
      </c>
      <c r="Q24" s="40"/>
      <c r="R24" s="40"/>
      <c r="S24" s="40"/>
      <c r="T24" s="40"/>
      <c r="U24" s="40"/>
      <c r="V24" s="40"/>
      <c r="W24" s="40"/>
    </row>
    <row r="25" spans="1:33" ht="16.2" thickTop="1">
      <c r="B25" s="80" t="s">
        <v>194</v>
      </c>
      <c r="C25" s="81">
        <f>Input!$D$96</f>
        <v>0</v>
      </c>
      <c r="D25" s="81">
        <f>Input!$D$97</f>
        <v>0</v>
      </c>
      <c r="E25" s="62">
        <f>SUM(C25:D25)</f>
        <v>0</v>
      </c>
      <c r="G25" s="53" t="s">
        <v>197</v>
      </c>
      <c r="H25" s="82">
        <f>IF((E34+E38)&lt;0,0,(-((E33+E38)-(E33+E38))))</f>
        <v>0</v>
      </c>
      <c r="K25" s="61" t="str">
        <f>IF(L25&lt;&gt;0,"Deficit Transfer",".")</f>
        <v>.</v>
      </c>
      <c r="L25" s="62">
        <f>Input!$C$273</f>
        <v>0</v>
      </c>
      <c r="Q25" s="40"/>
      <c r="R25" s="40"/>
      <c r="S25" s="40"/>
      <c r="T25" s="40"/>
      <c r="U25" s="40"/>
      <c r="V25" s="40"/>
      <c r="W25" s="40"/>
    </row>
    <row r="26" spans="1:33" ht="16.2" thickBot="1">
      <c r="B26" s="80" t="s">
        <v>196</v>
      </c>
      <c r="C26" s="81">
        <f>Input!$D$94</f>
        <v>0</v>
      </c>
      <c r="D26" s="81">
        <f>Input!$D$95</f>
        <v>0</v>
      </c>
      <c r="E26" s="62">
        <f>SUM(C26:D26)</f>
        <v>0</v>
      </c>
      <c r="G26" s="53" t="s">
        <v>201</v>
      </c>
      <c r="H26" s="88">
        <v>0</v>
      </c>
      <c r="K26" s="61" t="str">
        <f>IF(L26&lt;&gt;0,"Deficit Transfer",".")</f>
        <v>.</v>
      </c>
      <c r="L26" s="62">
        <f>Input!$D$273</f>
        <v>0</v>
      </c>
      <c r="N26" s="76" t="s">
        <v>367</v>
      </c>
      <c r="O26" s="83">
        <f>-Reconciliation!$E$39+Input!$E$161</f>
        <v>83055.72</v>
      </c>
      <c r="Q26" s="40"/>
      <c r="R26" s="40"/>
      <c r="S26" s="40"/>
      <c r="T26" s="40"/>
      <c r="U26" s="40"/>
      <c r="V26" s="40"/>
      <c r="W26" s="40"/>
    </row>
    <row r="27" spans="1:33" ht="16.2" thickBot="1">
      <c r="A27" s="41" t="s">
        <v>11</v>
      </c>
      <c r="B27" s="84" t="s">
        <v>199</v>
      </c>
      <c r="C27" s="85">
        <f>Input!$D$98</f>
        <v>0</v>
      </c>
      <c r="D27" s="86" t="s">
        <v>200</v>
      </c>
      <c r="E27" s="87">
        <f>SUM(C27:D27)</f>
        <v>0</v>
      </c>
      <c r="G27" s="53" t="s">
        <v>175</v>
      </c>
      <c r="H27" s="71">
        <f>ROUND(H21,2)+ROUND(H22,2)+ROUND(H23,2)+ROUND(H24,2)+ROUND(H25,2)+ROUND(H26,2)</f>
        <v>83055.72</v>
      </c>
      <c r="K27" s="61" t="str">
        <f>IF(L27&lt;&gt;0,"Outstanding Obligations",".")</f>
        <v>.</v>
      </c>
      <c r="L27" s="62">
        <f>-SUM(Input!C256:C266)</f>
        <v>0</v>
      </c>
      <c r="N27" s="76" t="s">
        <v>198</v>
      </c>
      <c r="O27" s="83">
        <f>Input!$E$161</f>
        <v>0</v>
      </c>
      <c r="Q27" s="40"/>
      <c r="R27" s="40"/>
      <c r="S27" s="40"/>
      <c r="T27" s="40"/>
      <c r="U27" s="40"/>
      <c r="V27" s="40"/>
      <c r="W27" s="40"/>
    </row>
    <row r="28" spans="1:33" ht="16.8" thickTop="1" thickBot="1">
      <c r="B28" s="89" t="s">
        <v>203</v>
      </c>
      <c r="C28" s="89">
        <f>SUM(C24:C27)</f>
        <v>101729</v>
      </c>
      <c r="D28" s="89">
        <f>SUM(D24:D27)</f>
        <v>8138</v>
      </c>
      <c r="E28" s="90">
        <f>SUM(C28:D28)</f>
        <v>109867</v>
      </c>
      <c r="K28" s="61" t="str">
        <f>IF(L28&lt;&gt;0,"Outstanding Obligations",".")</f>
        <v>.</v>
      </c>
      <c r="L28" s="62">
        <f>-Input!C267</f>
        <v>0</v>
      </c>
      <c r="N28" s="72" t="s">
        <v>202</v>
      </c>
      <c r="O28" s="77">
        <f>O26-O27</f>
        <v>83055.72</v>
      </c>
      <c r="Q28" s="40"/>
      <c r="R28" s="40"/>
      <c r="S28" s="40"/>
      <c r="T28" s="40"/>
      <c r="U28" s="40"/>
      <c r="V28" s="40"/>
      <c r="W28" s="40"/>
    </row>
    <row r="29" spans="1:33" ht="16.8" thickTop="1" thickBot="1">
      <c r="B29" s="40"/>
      <c r="C29" s="40"/>
      <c r="D29" s="40"/>
      <c r="E29" s="40"/>
      <c r="G29" s="557" t="s">
        <v>521</v>
      </c>
      <c r="H29" s="413"/>
      <c r="K29" s="61" t="str">
        <f>IF(L29&lt;&gt;0,"Unallowable Charges",".")</f>
        <v>.</v>
      </c>
      <c r="L29" s="62">
        <f>C38</f>
        <v>0</v>
      </c>
      <c r="N29" s="76" t="s">
        <v>204</v>
      </c>
      <c r="O29" s="77">
        <f>O54</f>
        <v>83055.719999999987</v>
      </c>
      <c r="Q29" s="40"/>
    </row>
    <row r="30" spans="1:33" ht="16.2" thickTop="1">
      <c r="B30" s="92" t="s">
        <v>393</v>
      </c>
      <c r="C30" s="93">
        <f>-Input!$D$78</f>
        <v>-76903.45</v>
      </c>
      <c r="D30" s="93">
        <f>-Input!$D$79</f>
        <v>-6152.27</v>
      </c>
      <c r="E30" s="58">
        <f>SUM(C30:D30)</f>
        <v>-83055.72</v>
      </c>
      <c r="G30" s="738" t="s">
        <v>207</v>
      </c>
      <c r="H30" s="740" t="str">
        <f>Input!D2</f>
        <v>Marlyn Del Cid</v>
      </c>
      <c r="K30" s="61" t="str">
        <f>IF(L30&lt;&gt;0,"Unallowable Charges",".")</f>
        <v>.</v>
      </c>
      <c r="L30" s="62">
        <f>D38</f>
        <v>0</v>
      </c>
      <c r="N30" s="53" t="s">
        <v>205</v>
      </c>
      <c r="O30" s="91">
        <v>5.5555555555555558E-3</v>
      </c>
      <c r="Q30" s="40"/>
    </row>
    <row r="31" spans="1:33">
      <c r="B31" s="80" t="s">
        <v>206</v>
      </c>
      <c r="C31" s="80">
        <f>-Input!$D$119</f>
        <v>0</v>
      </c>
      <c r="D31" s="80">
        <f>-Input!$E$119</f>
        <v>0</v>
      </c>
      <c r="E31" s="62">
        <f>SUM(C31:D31)</f>
        <v>0</v>
      </c>
      <c r="G31" s="739" t="s">
        <v>210</v>
      </c>
      <c r="H31" s="741">
        <f ca="1">NOW()</f>
        <v>42849.430286689814</v>
      </c>
      <c r="K31" s="61" t="str">
        <f>IF(L31&lt;&gt;0,"Offset",".")</f>
        <v>.</v>
      </c>
      <c r="L31" s="62">
        <f>-Reconciliation!$H$24</f>
        <v>0</v>
      </c>
      <c r="Q31" s="40"/>
    </row>
    <row r="32" spans="1:33">
      <c r="B32" s="84" t="s">
        <v>209</v>
      </c>
      <c r="C32" s="84">
        <f>Input!$D$129</f>
        <v>0</v>
      </c>
      <c r="D32" s="84">
        <f>Input!$E$129</f>
        <v>0</v>
      </c>
      <c r="E32" s="87">
        <f>SUM(C32:D32)</f>
        <v>0</v>
      </c>
      <c r="G32" s="740"/>
      <c r="H32" s="740"/>
      <c r="K32" s="61" t="str">
        <f>IF(L32&lt;&gt;0,"Offset",".")</f>
        <v>.</v>
      </c>
      <c r="L32" s="62">
        <f>-Reconciliation!$H$25-$H$26</f>
        <v>0</v>
      </c>
      <c r="M32" s="94"/>
      <c r="N32" s="67" t="s">
        <v>208</v>
      </c>
      <c r="O32" s="68">
        <f>IDC!$J$16</f>
        <v>5.9999999994033715E-3</v>
      </c>
      <c r="P32" s="94"/>
      <c r="Q32" s="94"/>
      <c r="R32" s="95"/>
      <c r="S32" s="96"/>
      <c r="T32" s="96"/>
      <c r="U32" s="96"/>
      <c r="V32" s="39"/>
      <c r="W32" s="39"/>
      <c r="X32" s="39"/>
      <c r="Y32" s="39"/>
      <c r="Z32" s="39"/>
      <c r="AA32" s="39"/>
      <c r="AB32" s="39"/>
      <c r="AC32" s="39"/>
      <c r="AD32" s="39"/>
      <c r="AE32" s="39"/>
      <c r="AF32" s="39"/>
      <c r="AG32" s="39"/>
    </row>
    <row r="33" spans="2:33" ht="16.2" thickBot="1">
      <c r="B33" s="68" t="s">
        <v>211</v>
      </c>
      <c r="C33" s="68">
        <f>SUM(C30:C32)</f>
        <v>-76903.45</v>
      </c>
      <c r="D33" s="68">
        <f>SUM(D30:D32)</f>
        <v>-6152.27</v>
      </c>
      <c r="E33" s="100">
        <f>SUM(E30:E32)</f>
        <v>-83055.72</v>
      </c>
      <c r="G33" s="1329" t="s">
        <v>214</v>
      </c>
      <c r="H33" s="1329"/>
      <c r="J33" s="40" t="s">
        <v>11</v>
      </c>
      <c r="K33" s="97" t="s">
        <v>191</v>
      </c>
      <c r="L33" s="90">
        <f>SUM(L7:L32)</f>
        <v>26811.279999999999</v>
      </c>
      <c r="P33" s="98"/>
      <c r="Q33" s="98"/>
      <c r="R33" s="99"/>
      <c r="S33" s="39"/>
      <c r="T33" s="39"/>
      <c r="U33" s="39"/>
      <c r="V33" s="39"/>
      <c r="W33" s="39"/>
      <c r="X33" s="39"/>
      <c r="Y33" s="39"/>
      <c r="Z33" s="39"/>
      <c r="AA33" s="39"/>
      <c r="AB33" s="39"/>
      <c r="AC33" s="39"/>
      <c r="AD33" s="39"/>
      <c r="AE33" s="39"/>
      <c r="AF33" s="39"/>
      <c r="AG33" s="39"/>
    </row>
    <row r="34" spans="2:33" ht="16.2" thickTop="1">
      <c r="B34" s="68" t="s">
        <v>213</v>
      </c>
      <c r="C34" s="68">
        <f>C28+C33</f>
        <v>24825.550000000003</v>
      </c>
      <c r="D34" s="68">
        <f>D28+D33</f>
        <v>1985.7299999999996</v>
      </c>
      <c r="E34" s="100">
        <f>E28+E33</f>
        <v>26811.279999999999</v>
      </c>
      <c r="G34" s="1329" t="s">
        <v>227</v>
      </c>
      <c r="H34" s="1329"/>
      <c r="M34" s="102"/>
      <c r="N34" s="76" t="s">
        <v>212</v>
      </c>
      <c r="O34" s="83">
        <f>Input!$C$251</f>
        <v>0</v>
      </c>
      <c r="R34" s="102"/>
      <c r="S34" s="102"/>
      <c r="T34" s="102"/>
      <c r="U34" s="102"/>
      <c r="V34" s="39"/>
      <c r="W34" s="39"/>
      <c r="X34" s="39"/>
      <c r="Y34" s="39"/>
      <c r="Z34" s="39"/>
      <c r="AA34" s="39"/>
      <c r="AB34" s="39"/>
      <c r="AC34" s="39"/>
      <c r="AD34" s="39"/>
      <c r="AE34" s="39"/>
      <c r="AF34" s="39"/>
      <c r="AG34" s="39"/>
    </row>
    <row r="35" spans="2:33">
      <c r="B35" s="40"/>
      <c r="C35" s="40"/>
      <c r="D35" s="40"/>
      <c r="E35" s="40"/>
      <c r="F35" s="101"/>
      <c r="G35" s="1329" t="s">
        <v>223</v>
      </c>
      <c r="H35" s="1329"/>
      <c r="K35" s="411" t="s">
        <v>215</v>
      </c>
      <c r="L35" s="413"/>
      <c r="N35" s="76" t="s">
        <v>158</v>
      </c>
      <c r="O35" s="83">
        <f>E47</f>
        <v>26811.279999999999</v>
      </c>
      <c r="R35" s="40"/>
      <c r="S35" s="40"/>
      <c r="T35" s="40"/>
      <c r="U35" s="40"/>
    </row>
    <row r="36" spans="2:33">
      <c r="B36" s="92" t="s">
        <v>195</v>
      </c>
      <c r="C36" s="92">
        <f>-H24</f>
        <v>0</v>
      </c>
      <c r="D36" s="92">
        <f>-H25-H26</f>
        <v>0</v>
      </c>
      <c r="E36" s="92">
        <f>ROUND(C36,2)+ROUND(D36,2)</f>
        <v>0</v>
      </c>
      <c r="G36" s="1329" t="str">
        <f>"Move/liquidate encumbrance 37-99 BB/BSC ("&amp;Input!D16&amp;") "</f>
        <v xml:space="preserve">Move/liquidate encumbrance 37-99 BB/BSC (62-7032) </v>
      </c>
      <c r="H36" s="1329"/>
      <c r="K36" s="103" t="s">
        <v>216</v>
      </c>
      <c r="L36" s="83">
        <f>E52-L37-L38-L39-L40</f>
        <v>0</v>
      </c>
      <c r="N36" s="76" t="s">
        <v>217</v>
      </c>
      <c r="O36" s="83">
        <f>E52</f>
        <v>0</v>
      </c>
      <c r="Q36" s="40"/>
      <c r="R36" s="40"/>
      <c r="S36" s="40"/>
      <c r="T36" s="40"/>
      <c r="U36" s="40"/>
    </row>
    <row r="37" spans="2:33" ht="16.2" thickBot="1">
      <c r="B37" s="80" t="s">
        <v>220</v>
      </c>
      <c r="C37" s="80">
        <f>Input!C273</f>
        <v>0</v>
      </c>
      <c r="D37" s="80">
        <f>Input!D273</f>
        <v>0</v>
      </c>
      <c r="E37" s="80">
        <f>ROUND(C37,2)+ROUND(D37,2)</f>
        <v>0</v>
      </c>
      <c r="G37" s="1329" t="str">
        <f>"Re-encumber 37-99 ("&amp;Input!D17&amp;") "</f>
        <v xml:space="preserve">Re-encumber 37-99 (61-1620) </v>
      </c>
      <c r="H37" s="1329"/>
      <c r="K37" s="76" t="s">
        <v>218</v>
      </c>
      <c r="L37" s="83">
        <f>Input!E50</f>
        <v>0</v>
      </c>
      <c r="N37" s="67" t="s">
        <v>219</v>
      </c>
      <c r="O37" s="54">
        <f>E56</f>
        <v>0</v>
      </c>
      <c r="P37" s="98"/>
      <c r="Q37" s="40"/>
      <c r="R37" s="40"/>
      <c r="S37" s="40"/>
      <c r="T37" s="40"/>
      <c r="U37" s="40"/>
    </row>
    <row r="38" spans="2:33" ht="16.8" thickTop="1" thickBot="1">
      <c r="B38" s="84"/>
      <c r="C38" s="84"/>
      <c r="D38" s="84"/>
      <c r="E38" s="84"/>
      <c r="G38" s="1329" t="s">
        <v>230</v>
      </c>
      <c r="H38" s="1329"/>
      <c r="K38" s="76" t="s">
        <v>221</v>
      </c>
      <c r="L38" s="83">
        <f>Input!E51</f>
        <v>0</v>
      </c>
      <c r="N38" s="76" t="s">
        <v>222</v>
      </c>
      <c r="O38" s="104">
        <f>SUM(O34:O37)</f>
        <v>26811.279999999999</v>
      </c>
      <c r="P38" s="98"/>
      <c r="Q38" s="40"/>
      <c r="R38" s="40"/>
      <c r="S38" s="40"/>
      <c r="T38" s="40"/>
      <c r="U38" s="40"/>
    </row>
    <row r="39" spans="2:33" ht="16.8" thickTop="1" thickBot="1">
      <c r="B39" s="80" t="s">
        <v>226</v>
      </c>
      <c r="C39" s="80">
        <f>ROUND(C33,2)+ROUND(C36,2)+ROUND(C37,2)</f>
        <v>-76903.45</v>
      </c>
      <c r="D39" s="80">
        <f>ROUND(D33,2)+ROUND(D36,2)+ROUND(D37,2)</f>
        <v>-6152.27</v>
      </c>
      <c r="E39" s="58">
        <f>ROUND(C39,2)+ROUND(D39,2)</f>
        <v>-83055.72</v>
      </c>
      <c r="G39" s="1329" t="s">
        <v>229</v>
      </c>
      <c r="H39" s="1329"/>
      <c r="K39" s="76" t="s">
        <v>224</v>
      </c>
      <c r="L39" s="83">
        <f>Input!D98</f>
        <v>0</v>
      </c>
      <c r="N39" s="76" t="s">
        <v>225</v>
      </c>
      <c r="O39" s="104">
        <f>GABS!$I$23*-1</f>
        <v>26811.279999999999</v>
      </c>
      <c r="Q39" s="40"/>
      <c r="R39" s="40"/>
      <c r="S39" s="40"/>
      <c r="T39" s="40"/>
      <c r="U39" s="40"/>
    </row>
    <row r="40" spans="2:33" ht="16.8" thickTop="1" thickBot="1">
      <c r="B40" s="89" t="s">
        <v>228</v>
      </c>
      <c r="C40" s="89">
        <f>ROUND(C34,2)+ROUND(C36, 2)+ROUND(C37,2)+ROUND(C38,2)</f>
        <v>24825.55</v>
      </c>
      <c r="D40" s="89">
        <f>ROUND(D34,2)+ROUND(D36, 2)+ROUND(D37,2)+ROUND(D38,2)</f>
        <v>1985.73</v>
      </c>
      <c r="E40" s="90">
        <f>ROUND(C40,2)+ROUND(D40,2)</f>
        <v>26811.279999999999</v>
      </c>
      <c r="G40" s="1329" t="s">
        <v>478</v>
      </c>
      <c r="H40" s="1329"/>
      <c r="Q40" s="40"/>
      <c r="R40" s="40"/>
      <c r="S40" s="40"/>
      <c r="T40" s="40"/>
      <c r="U40" s="40"/>
    </row>
    <row r="41" spans="2:33" ht="16.2" thickTop="1">
      <c r="B41" s="102"/>
      <c r="C41" s="102"/>
      <c r="D41" s="102"/>
      <c r="E41" s="102"/>
      <c r="G41"/>
      <c r="H41"/>
      <c r="J41" s="102"/>
      <c r="K41" s="108"/>
      <c r="L41" s="108"/>
      <c r="M41" s="108"/>
      <c r="N41" s="108"/>
      <c r="O41" s="108"/>
      <c r="Q41" s="105"/>
      <c r="R41" s="106"/>
      <c r="S41" s="107"/>
    </row>
    <row r="42" spans="2:33" ht="16.2" thickBot="1">
      <c r="B42" s="68" t="s">
        <v>194</v>
      </c>
      <c r="C42" s="68">
        <f>-SUM(Input!C256:C266)</f>
        <v>0</v>
      </c>
      <c r="D42" s="68">
        <f>-Input!C267</f>
        <v>0</v>
      </c>
      <c r="E42" s="100">
        <f>SUM(C42:D42)</f>
        <v>0</v>
      </c>
      <c r="F42" s="107"/>
      <c r="G42" s="116" t="s">
        <v>40</v>
      </c>
      <c r="H42" s="117"/>
      <c r="J42" s="102"/>
      <c r="K42" s="724"/>
      <c r="L42" s="108"/>
      <c r="M42" s="108"/>
      <c r="N42" s="109"/>
      <c r="O42" s="108"/>
      <c r="Q42" s="40"/>
      <c r="R42" s="40"/>
      <c r="S42" s="40"/>
      <c r="T42" s="40"/>
      <c r="U42" s="40"/>
    </row>
    <row r="43" spans="2:33" ht="16.2" thickBot="1">
      <c r="B43" s="89" t="s">
        <v>231</v>
      </c>
      <c r="C43" s="89">
        <f>SUM(C40:C42)</f>
        <v>24825.55</v>
      </c>
      <c r="D43" s="89">
        <f>SUM(D40:D42)</f>
        <v>1985.73</v>
      </c>
      <c r="E43" s="90">
        <f>SUM(E40:E42)</f>
        <v>26811.279999999999</v>
      </c>
      <c r="G43" s="119" t="str">
        <f>Input!C72</f>
        <v>Less Unobl. Balance on 61-1620</v>
      </c>
      <c r="H43" s="120">
        <f>Input!D72</f>
        <v>0</v>
      </c>
      <c r="J43" s="102"/>
      <c r="K43" s="109"/>
      <c r="L43" s="109"/>
      <c r="N43" s="109"/>
      <c r="O43" s="108"/>
      <c r="Q43" s="40"/>
      <c r="R43" s="40"/>
      <c r="S43" s="40"/>
      <c r="T43" s="40"/>
      <c r="U43" s="40"/>
    </row>
    <row r="44" spans="2:33" ht="16.2" thickTop="1">
      <c r="B44" s="102"/>
      <c r="C44" s="102"/>
      <c r="D44" s="102"/>
      <c r="E44" s="102"/>
      <c r="G44" s="67" t="s">
        <v>41</v>
      </c>
      <c r="H44" s="120" t="str">
        <f>IF(Input!D73="","",Input!D73)</f>
        <v/>
      </c>
      <c r="I44" s="102"/>
      <c r="J44" s="102"/>
      <c r="K44" s="109"/>
      <c r="L44" s="109"/>
      <c r="M44" s="109"/>
      <c r="N44" s="109"/>
      <c r="O44" s="108"/>
      <c r="Q44" s="40"/>
      <c r="R44" s="40"/>
      <c r="S44" s="40"/>
    </row>
    <row r="45" spans="2:33">
      <c r="B45" s="411" t="str">
        <f>"Unobligated balance transferred to "&amp;Input!D17&amp;" as follows:"</f>
        <v>Unobligated balance transferred to 61-1620 as follows:</v>
      </c>
      <c r="C45" s="412"/>
      <c r="D45" s="412"/>
      <c r="E45" s="413"/>
      <c r="G45"/>
      <c r="H45"/>
      <c r="I45" s="102"/>
      <c r="J45" s="102"/>
      <c r="K45" s="109"/>
      <c r="L45" s="109"/>
      <c r="M45" s="109"/>
      <c r="N45" s="109"/>
      <c r="O45" s="108"/>
      <c r="Q45" s="40"/>
      <c r="R45" s="40"/>
      <c r="S45" s="40"/>
    </row>
    <row r="46" spans="2:33">
      <c r="B46" s="80" t="s">
        <v>199</v>
      </c>
      <c r="C46" s="80">
        <f>O36</f>
        <v>0</v>
      </c>
      <c r="D46" s="110" t="s">
        <v>200</v>
      </c>
      <c r="E46" s="58">
        <f>SUM(C46:D46)</f>
        <v>0</v>
      </c>
      <c r="G46"/>
      <c r="H46"/>
      <c r="I46" s="102"/>
      <c r="J46" s="102"/>
      <c r="K46" s="109"/>
      <c r="L46" s="109"/>
      <c r="M46" s="109"/>
      <c r="N46" s="109"/>
      <c r="O46" s="108"/>
      <c r="Q46" s="40"/>
      <c r="R46" s="40"/>
      <c r="S46" s="40"/>
    </row>
    <row r="47" spans="2:33">
      <c r="B47" s="84" t="s">
        <v>196</v>
      </c>
      <c r="C47" s="84">
        <f>ROUND(E47/(1+Input!D69),0)</f>
        <v>24825</v>
      </c>
      <c r="D47" s="84">
        <f>E47-C47</f>
        <v>1986.2799999999988</v>
      </c>
      <c r="E47" s="87">
        <f>E43-E46-E56</f>
        <v>26811.279999999999</v>
      </c>
      <c r="H47" s="728"/>
      <c r="I47" s="728"/>
      <c r="J47" s="728"/>
      <c r="K47" s="728" t="s">
        <v>368</v>
      </c>
      <c r="L47" s="728"/>
      <c r="M47" s="728"/>
      <c r="N47" s="728"/>
      <c r="O47" s="160"/>
      <c r="P47" s="160"/>
      <c r="Q47" s="160"/>
      <c r="R47" s="160"/>
      <c r="S47" s="160"/>
      <c r="T47" s="160"/>
    </row>
    <row r="48" spans="2:33" ht="16.2" thickBot="1">
      <c r="B48" s="89"/>
      <c r="C48" s="89">
        <f>SUM(C46:C47)</f>
        <v>24825</v>
      </c>
      <c r="D48" s="89">
        <f>SUM(D46:D47)</f>
        <v>1986.2799999999988</v>
      </c>
      <c r="E48" s="90">
        <f>SUM(E46:E47)</f>
        <v>26811.279999999999</v>
      </c>
      <c r="F48" s="102"/>
      <c r="I48" s="729"/>
      <c r="J48" s="729"/>
      <c r="K48" s="729" t="s">
        <v>129</v>
      </c>
      <c r="L48" s="729" t="s">
        <v>369</v>
      </c>
      <c r="M48" s="737" t="s">
        <v>50</v>
      </c>
      <c r="N48" s="729" t="s">
        <v>370</v>
      </c>
      <c r="O48" s="729" t="s">
        <v>371</v>
      </c>
      <c r="P48" s="160"/>
      <c r="Q48" s="160"/>
      <c r="R48" s="722"/>
      <c r="S48" s="722"/>
    </row>
    <row r="49" spans="1:19" ht="16.2" thickTop="1">
      <c r="B49" s="40"/>
      <c r="C49" s="40"/>
      <c r="D49" s="40"/>
      <c r="E49" s="40"/>
      <c r="F49" s="102"/>
      <c r="I49" s="729"/>
      <c r="J49" s="731"/>
      <c r="K49" s="731">
        <f>IDC!G7+Input!D119-Input!E122-Input!D129+Input!E132-Reconciliation!C37-Reconciliation!O30-Reconciliation!H24-Input!D175</f>
        <v>76903.444444444438</v>
      </c>
      <c r="L49" s="729">
        <f>K49*M49</f>
        <v>6152.275555555555</v>
      </c>
      <c r="M49" s="730">
        <f>IDC!D7</f>
        <v>0.08</v>
      </c>
      <c r="N49" s="732">
        <f>IDC!F7+Input!E122-Input!E132-Input!E175</f>
        <v>0</v>
      </c>
      <c r="O49" s="731">
        <f>K49+L49+N49</f>
        <v>83055.719999999987</v>
      </c>
      <c r="P49" s="722"/>
      <c r="Q49" s="722"/>
      <c r="R49" s="722"/>
      <c r="S49" s="722"/>
    </row>
    <row r="50" spans="1:19">
      <c r="B50" s="112"/>
      <c r="C50" s="113"/>
      <c r="D50" s="114" t="s">
        <v>233</v>
      </c>
      <c r="E50" s="1070">
        <f>E48-E52</f>
        <v>26811.279999999999</v>
      </c>
      <c r="F50" s="102"/>
      <c r="I50" s="729"/>
      <c r="J50" s="731"/>
      <c r="K50" s="731">
        <f>IDC!G8</f>
        <v>0</v>
      </c>
      <c r="L50" s="729">
        <f>K50*M50</f>
        <v>0</v>
      </c>
      <c r="M50" s="730">
        <f>IDC!D8</f>
        <v>0</v>
      </c>
      <c r="N50" s="732">
        <f>IDC!F8</f>
        <v>0</v>
      </c>
      <c r="O50" s="731">
        <f>K50+L50+N50</f>
        <v>0</v>
      </c>
      <c r="P50" s="722"/>
      <c r="Q50" s="722"/>
      <c r="R50" s="723"/>
      <c r="S50" s="722"/>
    </row>
    <row r="51" spans="1:19">
      <c r="B51" s="40"/>
      <c r="C51" s="40"/>
      <c r="D51" s="40"/>
      <c r="E51" s="118"/>
      <c r="F51" s="102"/>
      <c r="I51" s="729"/>
      <c r="J51" s="731"/>
      <c r="K51" s="731">
        <f>IDC!G9</f>
        <v>0</v>
      </c>
      <c r="L51" s="729">
        <f>K51*M51</f>
        <v>0</v>
      </c>
      <c r="M51" s="730">
        <f>IDC!D9</f>
        <v>0</v>
      </c>
      <c r="N51" s="732">
        <f>IDC!F9</f>
        <v>0</v>
      </c>
      <c r="O51" s="731">
        <f>K51+L51+N51</f>
        <v>0</v>
      </c>
      <c r="P51" s="722"/>
      <c r="Q51" s="722"/>
      <c r="R51" s="722"/>
      <c r="S51" s="722"/>
    </row>
    <row r="52" spans="1:19">
      <c r="B52" s="112"/>
      <c r="C52" s="113"/>
      <c r="D52" s="114" t="s">
        <v>234</v>
      </c>
      <c r="E52" s="115">
        <v>0</v>
      </c>
      <c r="F52" s="102"/>
      <c r="I52" s="729"/>
      <c r="J52" s="731"/>
      <c r="K52" s="731">
        <f>IDC!G10</f>
        <v>0</v>
      </c>
      <c r="L52" s="729">
        <f>K52*M52</f>
        <v>0</v>
      </c>
      <c r="M52" s="730">
        <f>IDC!D10</f>
        <v>0</v>
      </c>
      <c r="N52" s="732">
        <f>IDC!F10</f>
        <v>0</v>
      </c>
      <c r="O52" s="731">
        <f>K52+L52+N52</f>
        <v>0</v>
      </c>
      <c r="P52" s="722"/>
      <c r="Q52" s="722"/>
      <c r="R52" s="722"/>
      <c r="S52" s="722"/>
    </row>
    <row r="53" spans="1:19">
      <c r="B53" s="40"/>
      <c r="C53" s="40"/>
      <c r="D53" s="40"/>
      <c r="E53" s="118"/>
      <c r="F53" s="102"/>
      <c r="G53" s="733"/>
      <c r="H53" s="734"/>
      <c r="I53" s="734"/>
      <c r="J53" s="121"/>
      <c r="K53" s="121"/>
      <c r="L53" s="121"/>
      <c r="M53" s="122"/>
      <c r="N53" s="109"/>
      <c r="P53" s="41"/>
    </row>
    <row r="54" spans="1:19">
      <c r="B54" s="112"/>
      <c r="C54" s="113"/>
      <c r="D54" s="114" t="s">
        <v>235</v>
      </c>
      <c r="E54" s="123">
        <v>0</v>
      </c>
      <c r="F54" s="102" t="s">
        <v>11</v>
      </c>
      <c r="G54" s="735"/>
      <c r="H54" s="735"/>
      <c r="I54" s="734"/>
      <c r="J54" s="121"/>
      <c r="K54" s="121"/>
      <c r="L54" s="121"/>
      <c r="N54" s="727" t="s">
        <v>524</v>
      </c>
      <c r="O54" s="736">
        <f>SUM(O49:O52)</f>
        <v>83055.719999999987</v>
      </c>
      <c r="P54" s="41"/>
    </row>
    <row r="55" spans="1:19">
      <c r="I55" s="102"/>
      <c r="J55" s="725"/>
      <c r="K55" s="121"/>
      <c r="L55" s="121"/>
      <c r="M55" s="121"/>
      <c r="N55" s="108"/>
      <c r="P55" s="41"/>
    </row>
    <row r="56" spans="1:19" ht="21">
      <c r="B56" s="112"/>
      <c r="C56" s="113"/>
      <c r="D56" s="67" t="s">
        <v>236</v>
      </c>
      <c r="E56" s="123">
        <f>H43</f>
        <v>0</v>
      </c>
      <c r="F56" s="1117" t="str">
        <f>IF(H43&gt;0,"Less Unobligated Balance - Funds already released in continuation!!!; Do Not Double Fund!!!", "")</f>
        <v/>
      </c>
      <c r="J56" s="102"/>
      <c r="K56" s="726"/>
      <c r="L56" s="96"/>
      <c r="M56" s="96"/>
      <c r="N56" s="96"/>
      <c r="O56" s="102"/>
    </row>
    <row r="57" spans="1:19">
      <c r="K57" s="124"/>
      <c r="L57" s="124"/>
      <c r="M57" s="124"/>
      <c r="N57" s="124"/>
    </row>
    <row r="58" spans="1:19">
      <c r="B58" s="40"/>
      <c r="C58" s="40"/>
      <c r="D58" s="40"/>
      <c r="E58" s="40"/>
      <c r="K58" s="125"/>
      <c r="L58" s="124"/>
      <c r="M58" s="124"/>
      <c r="N58" s="124"/>
    </row>
    <row r="59" spans="1:19" ht="17.399999999999999">
      <c r="A59" s="1118"/>
      <c r="K59" s="124"/>
      <c r="L59" s="124"/>
      <c r="M59" s="124"/>
      <c r="N59" s="124"/>
    </row>
    <row r="60" spans="1:19">
      <c r="K60" s="125"/>
      <c r="L60" s="124"/>
      <c r="M60" s="124"/>
      <c r="N60" s="124"/>
    </row>
    <row r="61" spans="1:19">
      <c r="K61" s="124"/>
      <c r="L61" s="124"/>
      <c r="M61" s="124"/>
      <c r="N61" s="124"/>
    </row>
    <row r="62" spans="1:19">
      <c r="L62" s="124"/>
      <c r="M62" s="124"/>
      <c r="N62" s="124"/>
    </row>
    <row r="63" spans="1:19">
      <c r="L63" s="124"/>
      <c r="M63" s="124"/>
      <c r="N63" s="124"/>
    </row>
  </sheetData>
  <mergeCells count="8">
    <mergeCell ref="G39:H39"/>
    <mergeCell ref="G40:H40"/>
    <mergeCell ref="G33:H33"/>
    <mergeCell ref="G34:H34"/>
    <mergeCell ref="G35:H35"/>
    <mergeCell ref="G36:H36"/>
    <mergeCell ref="G37:H37"/>
    <mergeCell ref="G38:H38"/>
  </mergeCells>
  <phoneticPr fontId="14" type="noConversion"/>
  <printOptions gridLinesSet="0"/>
  <pageMargins left="0.75" right="0.75" top="0.75" bottom="0.5" header="0" footer="0"/>
  <pageSetup scale="75" fitToWidth="2" orientation="portrait" r:id="rId1"/>
  <headerFooter alignWithMargins="0"/>
  <ignoredErrors>
    <ignoredError sqref="D8"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7030A0"/>
    <pageSetUpPr fitToPage="1"/>
  </sheetPr>
  <dimension ref="A1:Z73"/>
  <sheetViews>
    <sheetView showGridLines="0" tabSelected="1" topLeftCell="A34" zoomScaleNormal="100" workbookViewId="0">
      <selection activeCell="A53" sqref="A53"/>
    </sheetView>
  </sheetViews>
  <sheetFormatPr defaultColWidth="8.83203125" defaultRowHeight="15.6"/>
  <cols>
    <col min="1" max="1" width="11" style="560" customWidth="1"/>
    <col min="2" max="2" width="9.58203125" style="560" customWidth="1"/>
    <col min="3" max="3" width="2.4140625" style="560" customWidth="1"/>
    <col min="4" max="4" width="5.4140625" style="560" customWidth="1"/>
    <col min="5" max="5" width="9.58203125" style="560" customWidth="1"/>
    <col min="6" max="6" width="9.9140625" style="560" customWidth="1"/>
    <col min="7" max="7" width="8.33203125" style="560" customWidth="1"/>
    <col min="8" max="8" width="4.4140625" style="560" customWidth="1"/>
    <col min="9" max="9" width="8.9140625" style="560" customWidth="1"/>
    <col min="10" max="10" width="2.1640625" style="560" customWidth="1"/>
    <col min="11" max="11" width="2.4140625" style="560" customWidth="1"/>
    <col min="12" max="12" width="1.4140625" style="560" customWidth="1"/>
    <col min="13" max="13" width="1.5" style="560" customWidth="1"/>
    <col min="14" max="14" width="6.6640625" style="560" bestFit="1" customWidth="1"/>
    <col min="15" max="15" width="4.4140625" style="560" customWidth="1"/>
    <col min="16" max="16" width="1.5" style="560" customWidth="1"/>
    <col min="17" max="17" width="3.83203125" style="560" customWidth="1"/>
    <col min="18" max="18" width="2" style="560" customWidth="1"/>
    <col min="19" max="19" width="4.1640625" style="560" customWidth="1"/>
    <col min="20" max="20" width="1.5" style="560" customWidth="1"/>
    <col min="21" max="21" width="2.4140625" style="560" customWidth="1"/>
    <col min="22" max="22" width="1.5" style="560" customWidth="1"/>
    <col min="23" max="23" width="7.6640625" style="560" customWidth="1"/>
    <col min="24" max="24" width="4" style="560" customWidth="1"/>
    <col min="25" max="25" width="67" style="704" customWidth="1"/>
    <col min="26" max="26" width="8.83203125" style="560" customWidth="1"/>
    <col min="27" max="16384" width="8.83203125" style="560"/>
  </cols>
  <sheetData>
    <row r="1" spans="1:26">
      <c r="A1" s="890"/>
      <c r="B1" s="890"/>
      <c r="C1" s="890"/>
      <c r="D1" s="890"/>
      <c r="E1" s="890"/>
      <c r="F1" s="890"/>
      <c r="G1" s="890"/>
      <c r="H1" s="890"/>
      <c r="I1" s="890"/>
      <c r="J1" s="890"/>
      <c r="K1" s="890"/>
      <c r="L1" s="890"/>
      <c r="M1" s="890"/>
      <c r="N1" s="890"/>
      <c r="O1" s="890"/>
      <c r="P1" s="890"/>
      <c r="Q1" s="890"/>
      <c r="R1" s="890"/>
      <c r="S1" s="890" t="s">
        <v>11</v>
      </c>
      <c r="T1" s="890"/>
      <c r="U1" s="890"/>
      <c r="V1" s="890"/>
      <c r="W1" s="905"/>
      <c r="Y1" s="702" t="s">
        <v>499</v>
      </c>
    </row>
    <row r="2" spans="1:26" ht="21">
      <c r="A2" s="1368" t="s">
        <v>413</v>
      </c>
      <c r="B2" s="1368"/>
      <c r="C2" s="1368"/>
      <c r="D2" s="1368"/>
      <c r="E2" s="1368"/>
      <c r="F2" s="1368"/>
      <c r="G2" s="1368"/>
      <c r="H2" s="1368"/>
      <c r="I2" s="1368"/>
      <c r="J2" s="1368"/>
      <c r="K2" s="1368"/>
      <c r="L2" s="1368"/>
      <c r="M2" s="1368"/>
      <c r="N2" s="1368"/>
      <c r="O2" s="1368"/>
      <c r="P2" s="1368"/>
      <c r="Q2" s="1368"/>
      <c r="R2" s="1368"/>
      <c r="S2" s="1368"/>
      <c r="T2" s="1368"/>
      <c r="U2" s="1368"/>
      <c r="V2" s="1368"/>
      <c r="W2" s="1368"/>
      <c r="Y2" s="703" t="s">
        <v>483</v>
      </c>
      <c r="Z2" s="575" t="s">
        <v>500</v>
      </c>
    </row>
    <row r="3" spans="1:26">
      <c r="A3" s="1369" t="s">
        <v>414</v>
      </c>
      <c r="B3" s="1369"/>
      <c r="C3" s="1369"/>
      <c r="D3" s="1369"/>
      <c r="E3" s="1369"/>
      <c r="F3" s="1369"/>
      <c r="G3" s="1369"/>
      <c r="H3" s="1369"/>
      <c r="I3" s="1369"/>
      <c r="J3" s="1369"/>
      <c r="K3" s="1369"/>
      <c r="L3" s="1369"/>
      <c r="M3" s="1369"/>
      <c r="N3" s="1369"/>
      <c r="O3" s="1369"/>
      <c r="P3" s="1369"/>
      <c r="Q3" s="1369"/>
      <c r="R3" s="1369"/>
      <c r="S3" s="1369"/>
      <c r="T3" s="1369"/>
      <c r="U3" s="1369"/>
      <c r="V3" s="1369"/>
      <c r="W3" s="1369"/>
    </row>
    <row r="4" spans="1:26">
      <c r="A4" s="882" t="s">
        <v>415</v>
      </c>
      <c r="B4" s="883"/>
      <c r="C4" s="883"/>
      <c r="D4" s="883"/>
      <c r="E4" s="883"/>
      <c r="F4" s="884" t="s">
        <v>416</v>
      </c>
      <c r="G4" s="885"/>
      <c r="H4" s="885"/>
      <c r="I4" s="885"/>
      <c r="J4" s="885"/>
      <c r="K4" s="885"/>
      <c r="L4" s="885"/>
      <c r="M4" s="885"/>
      <c r="N4" s="885"/>
      <c r="O4" s="886"/>
      <c r="P4" s="885"/>
      <c r="Q4" s="885"/>
      <c r="R4" s="885"/>
      <c r="S4" s="885"/>
      <c r="T4" s="887" t="s">
        <v>388</v>
      </c>
      <c r="U4" s="883"/>
      <c r="V4" s="883"/>
      <c r="W4" s="888" t="s">
        <v>417</v>
      </c>
    </row>
    <row r="5" spans="1:26">
      <c r="A5" s="889" t="s">
        <v>372</v>
      </c>
      <c r="B5" s="890"/>
      <c r="C5" s="890"/>
      <c r="D5" s="890"/>
      <c r="E5" s="890"/>
      <c r="F5" s="891" t="s">
        <v>418</v>
      </c>
      <c r="G5" s="892"/>
      <c r="H5" s="892"/>
      <c r="I5" s="892"/>
      <c r="J5" s="892"/>
      <c r="K5" s="892"/>
      <c r="L5" s="892"/>
      <c r="M5" s="892"/>
      <c r="N5" s="892"/>
      <c r="O5" s="893"/>
      <c r="P5" s="892"/>
      <c r="Q5" s="892"/>
      <c r="R5" s="892"/>
      <c r="S5" s="892"/>
      <c r="T5" s="889"/>
      <c r="U5" s="894">
        <v>1</v>
      </c>
      <c r="V5" s="890"/>
      <c r="W5" s="895">
        <v>1</v>
      </c>
    </row>
    <row r="6" spans="1:26" ht="16.5" customHeight="1">
      <c r="A6" s="1387" t="str">
        <f>Input!D21</f>
        <v xml:space="preserve">NATL INST-OF-HEALTH    </v>
      </c>
      <c r="B6" s="1388"/>
      <c r="C6" s="1388"/>
      <c r="D6" s="1388"/>
      <c r="E6" s="1389"/>
      <c r="F6" s="891"/>
      <c r="G6" s="892"/>
      <c r="H6" s="896" t="str">
        <f>Input!D27</f>
        <v>3 R25 NS 095377-01S1</v>
      </c>
      <c r="I6" s="892"/>
      <c r="J6" s="892"/>
      <c r="K6" s="892"/>
      <c r="L6" s="892"/>
      <c r="M6" s="892"/>
      <c r="N6" s="892"/>
      <c r="O6" s="893"/>
      <c r="P6" s="892"/>
      <c r="Q6" s="892"/>
      <c r="R6" s="892"/>
      <c r="S6" s="892"/>
      <c r="T6" s="889"/>
      <c r="U6" s="890" t="s">
        <v>11</v>
      </c>
      <c r="V6" s="890"/>
      <c r="W6" s="897"/>
    </row>
    <row r="7" spans="1:26">
      <c r="A7" s="1390"/>
      <c r="B7" s="1391"/>
      <c r="C7" s="1391"/>
      <c r="D7" s="1391"/>
      <c r="E7" s="1392"/>
      <c r="F7" s="891"/>
      <c r="G7" s="892"/>
      <c r="H7" s="898"/>
      <c r="I7" s="892"/>
      <c r="J7" s="892"/>
      <c r="K7" s="892"/>
      <c r="L7" s="892"/>
      <c r="M7" s="892"/>
      <c r="N7" s="892"/>
      <c r="O7" s="893"/>
      <c r="P7" s="892"/>
      <c r="Q7" s="892"/>
      <c r="R7" s="892"/>
      <c r="S7" s="892"/>
      <c r="T7" s="889"/>
      <c r="U7" s="894"/>
      <c r="V7" s="890"/>
      <c r="W7" s="899" t="s">
        <v>419</v>
      </c>
      <c r="Y7" s="704" t="s">
        <v>484</v>
      </c>
    </row>
    <row r="8" spans="1:26">
      <c r="A8" s="882" t="s">
        <v>420</v>
      </c>
      <c r="B8" s="883"/>
      <c r="C8" s="883"/>
      <c r="D8" s="883"/>
      <c r="E8" s="883"/>
      <c r="F8" s="883"/>
      <c r="G8" s="883"/>
      <c r="H8" s="1032" t="s">
        <v>361</v>
      </c>
      <c r="I8" s="885"/>
      <c r="J8" s="885"/>
      <c r="K8" s="885"/>
      <c r="L8" s="885"/>
      <c r="M8" s="885"/>
      <c r="N8" s="885"/>
      <c r="O8" s="886"/>
      <c r="P8" s="885"/>
      <c r="Q8" s="885"/>
      <c r="R8" s="885"/>
      <c r="S8" s="885"/>
      <c r="T8" s="885"/>
      <c r="U8" s="885"/>
      <c r="V8" s="885"/>
      <c r="W8" s="900"/>
    </row>
    <row r="9" spans="1:26">
      <c r="A9" s="891"/>
      <c r="B9" s="824"/>
      <c r="C9" s="892"/>
      <c r="D9" s="892"/>
      <c r="E9" s="892"/>
      <c r="F9" s="892"/>
      <c r="G9" s="892"/>
      <c r="H9" s="1032" t="s">
        <v>541</v>
      </c>
      <c r="I9" s="892"/>
      <c r="J9" s="892"/>
      <c r="K9" s="892"/>
      <c r="L9" s="892"/>
      <c r="M9" s="892"/>
      <c r="N9" s="892"/>
      <c r="O9" s="892"/>
      <c r="P9" s="892"/>
      <c r="Q9" s="892"/>
      <c r="R9" s="892"/>
      <c r="S9" s="892"/>
      <c r="T9" s="892"/>
      <c r="U9" s="892"/>
      <c r="V9" s="892"/>
      <c r="W9" s="901"/>
    </row>
    <row r="10" spans="1:26">
      <c r="A10" s="891"/>
      <c r="B10" s="824"/>
      <c r="C10" s="892"/>
      <c r="D10" s="892"/>
      <c r="E10" s="892"/>
      <c r="F10" s="892"/>
      <c r="G10" s="892"/>
      <c r="H10" s="1032" t="s">
        <v>542</v>
      </c>
      <c r="I10" s="892"/>
      <c r="J10" s="892"/>
      <c r="K10" s="892"/>
      <c r="L10" s="892"/>
      <c r="M10" s="892"/>
      <c r="N10" s="892"/>
      <c r="O10" s="892"/>
      <c r="P10" s="892"/>
      <c r="Q10" s="892"/>
      <c r="R10" s="892"/>
      <c r="S10" s="892"/>
      <c r="T10" s="892"/>
      <c r="U10" s="892"/>
      <c r="V10" s="892"/>
      <c r="W10" s="901"/>
    </row>
    <row r="11" spans="1:26">
      <c r="A11" s="891"/>
      <c r="B11" s="892"/>
      <c r="C11" s="892"/>
      <c r="D11" s="892"/>
      <c r="E11" s="902"/>
      <c r="F11" s="892"/>
      <c r="G11" s="892"/>
      <c r="H11" s="1033" t="s">
        <v>543</v>
      </c>
      <c r="I11" s="892"/>
      <c r="J11" s="902"/>
      <c r="K11" s="892"/>
      <c r="L11" s="892"/>
      <c r="M11" s="892"/>
      <c r="N11" s="892"/>
      <c r="O11" s="902"/>
      <c r="P11" s="892"/>
      <c r="Q11" s="902"/>
      <c r="R11" s="892"/>
      <c r="S11" s="892"/>
      <c r="T11" s="892"/>
      <c r="U11" s="892"/>
      <c r="V11" s="892"/>
      <c r="W11" s="901"/>
    </row>
    <row r="12" spans="1:26">
      <c r="A12" s="903" t="s">
        <v>421</v>
      </c>
      <c r="B12" s="883"/>
      <c r="C12" s="904" t="s">
        <v>422</v>
      </c>
      <c r="D12" s="883"/>
      <c r="E12" s="905"/>
      <c r="F12" s="882" t="s">
        <v>360</v>
      </c>
      <c r="G12" s="883"/>
      <c r="H12" s="883"/>
      <c r="I12" s="906"/>
      <c r="J12" s="907"/>
      <c r="K12" s="883"/>
      <c r="L12" s="883"/>
      <c r="M12" s="903" t="s">
        <v>423</v>
      </c>
      <c r="N12" s="883"/>
      <c r="O12" s="905"/>
      <c r="P12" s="883"/>
      <c r="Q12" s="908"/>
      <c r="R12" s="883" t="s">
        <v>424</v>
      </c>
      <c r="S12" s="883"/>
      <c r="T12" s="883"/>
      <c r="U12" s="883"/>
      <c r="V12" s="883"/>
      <c r="W12" s="909"/>
      <c r="Y12" s="704" t="s">
        <v>485</v>
      </c>
    </row>
    <row r="13" spans="1:26" ht="14.1" customHeight="1">
      <c r="A13" s="891"/>
      <c r="B13" s="892"/>
      <c r="C13" s="910"/>
      <c r="D13" s="893"/>
      <c r="E13" s="911"/>
      <c r="F13" s="889" t="s">
        <v>425</v>
      </c>
      <c r="G13" s="890"/>
      <c r="H13" s="890"/>
      <c r="I13" s="890"/>
      <c r="J13" s="905"/>
      <c r="K13" s="905"/>
      <c r="L13" s="912"/>
      <c r="M13" s="913"/>
      <c r="N13" s="914"/>
      <c r="O13" s="915" t="s">
        <v>426</v>
      </c>
      <c r="P13" s="905"/>
      <c r="Q13" s="912"/>
      <c r="R13" s="910"/>
      <c r="S13" s="893"/>
      <c r="T13" s="893"/>
      <c r="U13" s="893"/>
      <c r="V13" s="893"/>
      <c r="W13" s="901"/>
    </row>
    <row r="14" spans="1:26" ht="14.1" customHeight="1">
      <c r="A14" s="891"/>
      <c r="B14" s="892"/>
      <c r="C14" s="910"/>
      <c r="D14" s="893"/>
      <c r="E14" s="911"/>
      <c r="F14" s="916"/>
      <c r="G14" s="890"/>
      <c r="H14" s="890"/>
      <c r="I14" s="890"/>
      <c r="J14" s="905"/>
      <c r="K14" s="905"/>
      <c r="L14" s="912"/>
      <c r="M14" s="913"/>
      <c r="N14" s="914"/>
      <c r="O14" s="915" t="s">
        <v>427</v>
      </c>
      <c r="P14" s="905"/>
      <c r="Q14" s="912"/>
      <c r="R14" s="910"/>
      <c r="S14" s="893"/>
      <c r="T14" s="893"/>
      <c r="U14" s="893"/>
      <c r="V14" s="893"/>
      <c r="W14" s="901"/>
    </row>
    <row r="15" spans="1:26" ht="14.1" customHeight="1">
      <c r="A15" s="1370" t="str">
        <f>IF(Input!D21="DEPT OF EDUCATION      ","042803536","605799469")</f>
        <v>605799469</v>
      </c>
      <c r="B15" s="1371"/>
      <c r="C15" s="1372">
        <v>916001537</v>
      </c>
      <c r="D15" s="1373"/>
      <c r="E15" s="1374"/>
      <c r="F15" s="917"/>
      <c r="G15" s="918" t="str">
        <f>Input!D16</f>
        <v>62-7032</v>
      </c>
      <c r="H15" s="919"/>
      <c r="I15" s="920" t="s">
        <v>374</v>
      </c>
      <c r="J15" s="915"/>
      <c r="K15" s="915"/>
      <c r="L15" s="921"/>
      <c r="M15" s="913"/>
      <c r="N15" s="914" t="str">
        <f>IF(Input!E48="a", "X","")</f>
        <v>X</v>
      </c>
      <c r="O15" s="915" t="s">
        <v>428</v>
      </c>
      <c r="P15" s="905"/>
      <c r="Q15" s="912"/>
      <c r="R15" s="922"/>
      <c r="S15" s="923" t="s">
        <v>362</v>
      </c>
      <c r="T15" s="923"/>
      <c r="U15" s="924" t="s">
        <v>357</v>
      </c>
      <c r="V15" s="923" t="s">
        <v>363</v>
      </c>
      <c r="W15" s="925"/>
      <c r="Y15" s="704" t="s">
        <v>363</v>
      </c>
    </row>
    <row r="16" spans="1:26" ht="14.1" customHeight="1">
      <c r="A16" s="891"/>
      <c r="B16" s="892"/>
      <c r="C16" s="910"/>
      <c r="D16" s="902"/>
      <c r="E16" s="926"/>
      <c r="F16" s="892"/>
      <c r="G16" s="892"/>
      <c r="H16" s="892"/>
      <c r="I16" s="902"/>
      <c r="J16" s="902"/>
      <c r="K16" s="893"/>
      <c r="L16" s="927"/>
      <c r="M16" s="928"/>
      <c r="N16" s="929" t="str">
        <f>IF(Input!E48="f","X","")</f>
        <v/>
      </c>
      <c r="O16" s="930" t="s">
        <v>364</v>
      </c>
      <c r="P16" s="931"/>
      <c r="Q16" s="932"/>
      <c r="R16" s="933"/>
      <c r="S16" s="934"/>
      <c r="T16" s="935"/>
      <c r="U16" s="935"/>
      <c r="V16" s="935"/>
      <c r="W16" s="927"/>
    </row>
    <row r="17" spans="1:25">
      <c r="A17" s="903" t="s">
        <v>429</v>
      </c>
      <c r="B17" s="883"/>
      <c r="C17" s="883"/>
      <c r="D17" s="905"/>
      <c r="E17" s="905"/>
      <c r="F17" s="883"/>
      <c r="G17" s="883"/>
      <c r="H17" s="936"/>
      <c r="I17" s="907"/>
      <c r="J17" s="905"/>
      <c r="K17" s="903" t="s">
        <v>430</v>
      </c>
      <c r="L17" s="883"/>
      <c r="M17" s="905"/>
      <c r="N17" s="905"/>
      <c r="O17" s="905"/>
      <c r="P17" s="905"/>
      <c r="Q17" s="905"/>
      <c r="R17" s="905"/>
      <c r="S17" s="883"/>
      <c r="T17" s="883"/>
      <c r="U17" s="883"/>
      <c r="V17" s="883"/>
      <c r="W17" s="909"/>
    </row>
    <row r="18" spans="1:25" ht="16.2">
      <c r="A18" s="889" t="s">
        <v>431</v>
      </c>
      <c r="B18" s="890"/>
      <c r="C18" s="890"/>
      <c r="D18" s="937"/>
      <c r="E18" s="938">
        <f>Input!D25</f>
        <v>42277</v>
      </c>
      <c r="F18" s="889" t="s">
        <v>389</v>
      </c>
      <c r="G18" s="890"/>
      <c r="H18" s="905"/>
      <c r="I18" s="939">
        <f>Input!D26</f>
        <v>44074</v>
      </c>
      <c r="J18" s="912"/>
      <c r="K18" s="905"/>
      <c r="L18" s="905" t="s">
        <v>432</v>
      </c>
      <c r="M18" s="890"/>
      <c r="N18" s="905"/>
      <c r="O18" s="905"/>
      <c r="P18" s="890"/>
      <c r="Q18" s="890"/>
      <c r="R18" s="1375">
        <f>Input!D24</f>
        <v>42613</v>
      </c>
      <c r="S18" s="1376"/>
      <c r="T18" s="1376"/>
      <c r="U18" s="1376"/>
      <c r="V18" s="1376"/>
      <c r="W18" s="912"/>
      <c r="Y18" s="704" t="s">
        <v>486</v>
      </c>
    </row>
    <row r="19" spans="1:25">
      <c r="A19" s="891"/>
      <c r="B19" s="892"/>
      <c r="C19" s="892"/>
      <c r="D19" s="902"/>
      <c r="E19" s="927"/>
      <c r="F19" s="892"/>
      <c r="G19" s="892"/>
      <c r="H19" s="902"/>
      <c r="I19" s="893"/>
      <c r="J19" s="927"/>
      <c r="K19" s="892"/>
      <c r="L19" s="892"/>
      <c r="M19" s="892"/>
      <c r="N19" s="902"/>
      <c r="O19" s="893"/>
      <c r="P19" s="892"/>
      <c r="Q19" s="892"/>
      <c r="R19" s="892"/>
      <c r="S19" s="892"/>
      <c r="T19" s="892"/>
      <c r="U19" s="892"/>
      <c r="V19" s="892"/>
      <c r="W19" s="901"/>
    </row>
    <row r="20" spans="1:25">
      <c r="A20" s="940" t="s">
        <v>433</v>
      </c>
      <c r="B20" s="883"/>
      <c r="C20" s="883"/>
      <c r="D20" s="941"/>
      <c r="E20" s="883"/>
      <c r="F20" s="883"/>
      <c r="G20" s="883"/>
      <c r="H20" s="941"/>
      <c r="I20" s="942"/>
      <c r="J20" s="883"/>
      <c r="K20" s="883"/>
      <c r="L20" s="883"/>
      <c r="M20" s="883"/>
      <c r="N20" s="943"/>
      <c r="O20" s="1377" t="s">
        <v>434</v>
      </c>
      <c r="P20" s="1377"/>
      <c r="Q20" s="1377"/>
      <c r="R20" s="1377"/>
      <c r="S20" s="1377"/>
      <c r="T20" s="1377"/>
      <c r="U20" s="1377"/>
      <c r="V20" s="1377"/>
      <c r="W20" s="1378"/>
    </row>
    <row r="21" spans="1:25">
      <c r="A21" s="944" t="s">
        <v>502</v>
      </c>
      <c r="B21" s="883"/>
      <c r="C21" s="883"/>
      <c r="D21" s="905"/>
      <c r="E21" s="883"/>
      <c r="F21" s="883"/>
      <c r="G21" s="883"/>
      <c r="H21" s="905"/>
      <c r="I21" s="942"/>
      <c r="J21" s="883"/>
      <c r="K21" s="883"/>
      <c r="L21" s="883"/>
      <c r="M21" s="883"/>
      <c r="N21" s="905"/>
      <c r="O21" s="945"/>
      <c r="P21" s="945"/>
      <c r="Q21" s="945"/>
      <c r="R21" s="945"/>
      <c r="S21" s="945"/>
      <c r="T21" s="945"/>
      <c r="U21" s="945"/>
      <c r="V21" s="945"/>
      <c r="W21" s="945"/>
    </row>
    <row r="22" spans="1:25">
      <c r="A22" s="946" t="s">
        <v>503</v>
      </c>
      <c r="B22" s="883"/>
      <c r="C22" s="883"/>
      <c r="D22" s="883"/>
      <c r="E22" s="883"/>
      <c r="F22" s="883"/>
      <c r="G22" s="883"/>
      <c r="H22" s="883"/>
      <c r="I22" s="883"/>
      <c r="J22" s="883"/>
      <c r="K22" s="883"/>
      <c r="L22" s="883"/>
      <c r="M22" s="883"/>
      <c r="N22" s="883"/>
      <c r="O22" s="883"/>
      <c r="P22" s="883"/>
      <c r="Q22" s="883"/>
      <c r="R22" s="883"/>
      <c r="S22" s="883"/>
      <c r="T22" s="883"/>
      <c r="U22" s="883"/>
      <c r="V22" s="883"/>
      <c r="W22" s="947"/>
    </row>
    <row r="23" spans="1:25">
      <c r="A23" s="903" t="s">
        <v>435</v>
      </c>
      <c r="B23" s="883"/>
      <c r="C23" s="883"/>
      <c r="D23" s="883"/>
      <c r="E23" s="883"/>
      <c r="F23" s="883"/>
      <c r="G23" s="883"/>
      <c r="H23" s="883"/>
      <c r="I23" s="948"/>
      <c r="J23" s="883"/>
      <c r="K23" s="883"/>
      <c r="L23" s="883"/>
      <c r="M23" s="883"/>
      <c r="N23" s="947"/>
      <c r="O23" s="1348">
        <f>Input!$E$144-Reconciliation!$E$39</f>
        <v>83055.72</v>
      </c>
      <c r="P23" s="1349"/>
      <c r="Q23" s="1349"/>
      <c r="R23" s="1349"/>
      <c r="S23" s="1349"/>
      <c r="T23" s="1349"/>
      <c r="U23" s="1349"/>
      <c r="V23" s="1349"/>
      <c r="W23" s="1350"/>
      <c r="Y23" s="704" t="s">
        <v>487</v>
      </c>
    </row>
    <row r="24" spans="1:25">
      <c r="A24" s="903" t="s">
        <v>436</v>
      </c>
      <c r="B24" s="883"/>
      <c r="C24" s="883"/>
      <c r="D24" s="883"/>
      <c r="E24" s="883"/>
      <c r="F24" s="883"/>
      <c r="G24" s="883"/>
      <c r="H24" s="883"/>
      <c r="I24" s="948"/>
      <c r="J24" s="883"/>
      <c r="K24" s="883"/>
      <c r="L24" s="883"/>
      <c r="M24" s="883"/>
      <c r="N24" s="947"/>
      <c r="O24" s="1348">
        <f>Input!$E$144-Reconciliation!$E$39</f>
        <v>83055.72</v>
      </c>
      <c r="P24" s="1349"/>
      <c r="Q24" s="1349"/>
      <c r="R24" s="1349"/>
      <c r="S24" s="1349"/>
      <c r="T24" s="1349"/>
      <c r="U24" s="1349"/>
      <c r="V24" s="1349"/>
      <c r="W24" s="1350"/>
      <c r="Y24" s="704" t="s">
        <v>573</v>
      </c>
    </row>
    <row r="25" spans="1:25" ht="16.2" thickBot="1">
      <c r="A25" s="949" t="s">
        <v>437</v>
      </c>
      <c r="B25" s="950"/>
      <c r="C25" s="950"/>
      <c r="D25" s="950"/>
      <c r="E25" s="950"/>
      <c r="F25" s="950"/>
      <c r="G25" s="950"/>
      <c r="H25" s="950"/>
      <c r="I25" s="950"/>
      <c r="J25" s="950"/>
      <c r="K25" s="950"/>
      <c r="L25" s="950"/>
      <c r="M25" s="950"/>
      <c r="N25" s="1067"/>
      <c r="O25" s="1382">
        <f>O23-O24</f>
        <v>0</v>
      </c>
      <c r="P25" s="1383"/>
      <c r="Q25" s="1383"/>
      <c r="R25" s="1383"/>
      <c r="S25" s="1383"/>
      <c r="T25" s="1383"/>
      <c r="U25" s="1383"/>
      <c r="V25" s="1383"/>
      <c r="W25" s="1384"/>
      <c r="X25" s="1094"/>
      <c r="Y25" s="1096" t="s">
        <v>574</v>
      </c>
    </row>
    <row r="26" spans="1:25">
      <c r="A26" s="951" t="s">
        <v>438</v>
      </c>
      <c r="B26" s="931"/>
      <c r="C26" s="931"/>
      <c r="D26" s="931"/>
      <c r="E26" s="931"/>
      <c r="F26" s="931"/>
      <c r="G26" s="931"/>
      <c r="H26" s="931"/>
      <c r="I26" s="931"/>
      <c r="J26" s="931"/>
      <c r="K26" s="931"/>
      <c r="L26" s="931"/>
      <c r="M26" s="931"/>
      <c r="N26" s="931"/>
      <c r="O26" s="952"/>
      <c r="P26" s="952"/>
      <c r="Q26" s="952"/>
      <c r="R26" s="952"/>
      <c r="S26" s="952"/>
      <c r="T26" s="952"/>
      <c r="U26" s="952"/>
      <c r="V26" s="952"/>
      <c r="W26" s="953"/>
      <c r="X26" s="1097"/>
      <c r="Y26" s="1096"/>
    </row>
    <row r="27" spans="1:25" ht="16.2" thickBot="1">
      <c r="A27" s="954" t="s">
        <v>439</v>
      </c>
      <c r="B27" s="905"/>
      <c r="C27" s="955"/>
      <c r="D27" s="955"/>
      <c r="E27" s="955"/>
      <c r="F27" s="955"/>
      <c r="G27" s="955"/>
      <c r="H27" s="955"/>
      <c r="I27" s="955"/>
      <c r="J27" s="955"/>
      <c r="K27" s="955"/>
      <c r="L27" s="955"/>
      <c r="M27" s="955"/>
      <c r="N27" s="955"/>
      <c r="O27" s="956"/>
      <c r="P27" s="956"/>
      <c r="Q27" s="956"/>
      <c r="R27" s="956"/>
      <c r="S27" s="956"/>
      <c r="T27" s="956"/>
      <c r="U27" s="956"/>
      <c r="V27" s="956"/>
      <c r="W27" s="957"/>
      <c r="X27" s="1098"/>
    </row>
    <row r="28" spans="1:25">
      <c r="A28" s="916" t="s">
        <v>440</v>
      </c>
      <c r="B28" s="958"/>
      <c r="C28" s="905"/>
      <c r="D28" s="959"/>
      <c r="E28" s="905"/>
      <c r="F28" s="905"/>
      <c r="G28" s="905"/>
      <c r="H28" s="905"/>
      <c r="I28" s="959"/>
      <c r="J28" s="905"/>
      <c r="K28" s="905"/>
      <c r="L28" s="905"/>
      <c r="M28" s="905"/>
      <c r="N28" s="960"/>
      <c r="O28" s="1379">
        <f>Input!$D$112+Input!$E$147+Input!$E$140</f>
        <v>109867</v>
      </c>
      <c r="P28" s="1380"/>
      <c r="Q28" s="1380"/>
      <c r="R28" s="1380"/>
      <c r="S28" s="1380"/>
      <c r="T28" s="1380"/>
      <c r="U28" s="1380"/>
      <c r="V28" s="1380"/>
      <c r="W28" s="1385"/>
      <c r="Y28" s="704" t="s">
        <v>488</v>
      </c>
    </row>
    <row r="29" spans="1:25">
      <c r="A29" s="904" t="s">
        <v>441</v>
      </c>
      <c r="B29" s="883"/>
      <c r="C29" s="883"/>
      <c r="D29" s="883"/>
      <c r="E29" s="883"/>
      <c r="F29" s="883"/>
      <c r="G29" s="883"/>
      <c r="H29" s="883"/>
      <c r="I29" s="883"/>
      <c r="J29" s="883"/>
      <c r="K29" s="883"/>
      <c r="L29" s="883"/>
      <c r="M29" s="883"/>
      <c r="N29" s="947"/>
      <c r="O29" s="1348">
        <f>-Reconciliation!$E$39+Input!$E$144</f>
        <v>83055.72</v>
      </c>
      <c r="P29" s="1349"/>
      <c r="Q29" s="1349"/>
      <c r="R29" s="1349"/>
      <c r="S29" s="1349"/>
      <c r="T29" s="1349"/>
      <c r="U29" s="1349"/>
      <c r="V29" s="1349"/>
      <c r="W29" s="1386"/>
      <c r="Y29" s="704" t="s">
        <v>489</v>
      </c>
    </row>
    <row r="30" spans="1:25">
      <c r="A30" s="904" t="s">
        <v>442</v>
      </c>
      <c r="B30" s="883"/>
      <c r="C30" s="883"/>
      <c r="D30" s="883"/>
      <c r="E30" s="883"/>
      <c r="F30" s="883"/>
      <c r="G30" s="883"/>
      <c r="H30" s="883"/>
      <c r="I30" s="883"/>
      <c r="J30" s="883"/>
      <c r="K30" s="883"/>
      <c r="L30" s="883"/>
      <c r="M30" s="883"/>
      <c r="N30" s="947"/>
      <c r="O30" s="1348">
        <f>Input!$C$251</f>
        <v>0</v>
      </c>
      <c r="P30" s="1349"/>
      <c r="Q30" s="1349"/>
      <c r="R30" s="1349"/>
      <c r="S30" s="1349"/>
      <c r="T30" s="1349"/>
      <c r="U30" s="1349"/>
      <c r="V30" s="1349"/>
      <c r="W30" s="1386"/>
    </row>
    <row r="31" spans="1:25">
      <c r="A31" s="904" t="s">
        <v>443</v>
      </c>
      <c r="B31" s="883"/>
      <c r="C31" s="883"/>
      <c r="D31" s="883"/>
      <c r="E31" s="883"/>
      <c r="F31" s="883"/>
      <c r="G31" s="883"/>
      <c r="H31" s="883"/>
      <c r="I31" s="883"/>
      <c r="J31" s="883"/>
      <c r="K31" s="883"/>
      <c r="L31" s="883"/>
      <c r="M31" s="883"/>
      <c r="N31" s="947"/>
      <c r="O31" s="1348">
        <f>O29+O30</f>
        <v>83055.72</v>
      </c>
      <c r="P31" s="1349"/>
      <c r="Q31" s="1349"/>
      <c r="R31" s="1349"/>
      <c r="S31" s="1349"/>
      <c r="T31" s="1349"/>
      <c r="U31" s="1349"/>
      <c r="V31" s="1349"/>
      <c r="W31" s="1386"/>
    </row>
    <row r="32" spans="1:25">
      <c r="A32" s="961" t="s">
        <v>444</v>
      </c>
      <c r="B32" s="962"/>
      <c r="C32" s="962"/>
      <c r="D32" s="962"/>
      <c r="E32" s="962"/>
      <c r="F32" s="962"/>
      <c r="G32" s="962"/>
      <c r="H32" s="962"/>
      <c r="I32" s="962"/>
      <c r="J32" s="962"/>
      <c r="K32" s="962"/>
      <c r="L32" s="962"/>
      <c r="M32" s="962"/>
      <c r="N32" s="963"/>
      <c r="O32" s="1395">
        <f>O28-O31</f>
        <v>26811.279999999999</v>
      </c>
      <c r="P32" s="1396"/>
      <c r="Q32" s="1396"/>
      <c r="R32" s="1396"/>
      <c r="S32" s="1396"/>
      <c r="T32" s="1396"/>
      <c r="U32" s="1396"/>
      <c r="V32" s="1396"/>
      <c r="W32" s="1397"/>
    </row>
    <row r="33" spans="1:26" ht="16.2" thickBot="1">
      <c r="A33" s="964" t="s">
        <v>445</v>
      </c>
      <c r="B33" s="955"/>
      <c r="C33" s="955"/>
      <c r="D33" s="955"/>
      <c r="E33" s="955"/>
      <c r="F33" s="955"/>
      <c r="G33" s="955"/>
      <c r="H33" s="955"/>
      <c r="I33" s="955"/>
      <c r="J33" s="955"/>
      <c r="K33" s="955"/>
      <c r="L33" s="955"/>
      <c r="M33" s="955"/>
      <c r="N33" s="955"/>
      <c r="O33" s="956"/>
      <c r="P33" s="956"/>
      <c r="Q33" s="956"/>
      <c r="R33" s="956"/>
      <c r="S33" s="956"/>
      <c r="T33" s="956"/>
      <c r="U33" s="956"/>
      <c r="V33" s="956"/>
      <c r="W33" s="965"/>
    </row>
    <row r="34" spans="1:26">
      <c r="A34" s="889" t="s">
        <v>446</v>
      </c>
      <c r="B34" s="905"/>
      <c r="C34" s="905"/>
      <c r="D34" s="905"/>
      <c r="E34" s="905"/>
      <c r="F34" s="905"/>
      <c r="G34" s="905"/>
      <c r="H34" s="905"/>
      <c r="I34" s="959"/>
      <c r="J34" s="905"/>
      <c r="K34" s="905"/>
      <c r="L34" s="905"/>
      <c r="M34" s="905"/>
      <c r="N34" s="905"/>
      <c r="O34" s="1379">
        <f>SUM(Input!$E$158,Input!$E$161)</f>
        <v>0</v>
      </c>
      <c r="P34" s="1380"/>
      <c r="Q34" s="1380"/>
      <c r="R34" s="1380"/>
      <c r="S34" s="1380"/>
      <c r="T34" s="1380"/>
      <c r="U34" s="1380"/>
      <c r="V34" s="1380"/>
      <c r="W34" s="1381"/>
      <c r="Y34" s="704" t="s">
        <v>490</v>
      </c>
    </row>
    <row r="35" spans="1:26">
      <c r="A35" s="903" t="s">
        <v>447</v>
      </c>
      <c r="B35" s="883"/>
      <c r="C35" s="883"/>
      <c r="D35" s="883"/>
      <c r="E35" s="883"/>
      <c r="F35" s="883"/>
      <c r="G35" s="883"/>
      <c r="H35" s="883"/>
      <c r="I35" s="883"/>
      <c r="J35" s="883"/>
      <c r="K35" s="883"/>
      <c r="L35" s="883"/>
      <c r="M35" s="883"/>
      <c r="N35" s="963"/>
      <c r="O35" s="1348">
        <f>IF(SUM(Input!$E$159,Input!$E$162)&gt;SUM(Input!$E$158,Input!$E$161),SUM(Input!$E$158,Input!$E$161),SUM(Input!$E$159,Input!$E$162))</f>
        <v>0</v>
      </c>
      <c r="P35" s="1349"/>
      <c r="Q35" s="1349"/>
      <c r="R35" s="1349"/>
      <c r="S35" s="1349"/>
      <c r="T35" s="1349"/>
      <c r="U35" s="1349"/>
      <c r="V35" s="1349"/>
      <c r="W35" s="1350"/>
      <c r="X35" s="1094"/>
      <c r="Y35" s="704" t="s">
        <v>491</v>
      </c>
    </row>
    <row r="36" spans="1:26">
      <c r="A36" s="966" t="s">
        <v>448</v>
      </c>
      <c r="B36" s="962"/>
      <c r="C36" s="962"/>
      <c r="D36" s="962"/>
      <c r="E36" s="962"/>
      <c r="F36" s="962"/>
      <c r="G36" s="962"/>
      <c r="H36" s="962"/>
      <c r="I36" s="962"/>
      <c r="J36" s="962"/>
      <c r="K36" s="962"/>
      <c r="L36" s="962"/>
      <c r="M36" s="962"/>
      <c r="O36" s="1395">
        <f>O34-O35</f>
        <v>0</v>
      </c>
      <c r="P36" s="1396"/>
      <c r="Q36" s="1396"/>
      <c r="R36" s="1396"/>
      <c r="S36" s="1396"/>
      <c r="T36" s="1396"/>
      <c r="U36" s="1396"/>
      <c r="V36" s="1396"/>
      <c r="W36" s="1398"/>
      <c r="X36" s="1095" t="str">
        <f>IF(N16="X","This cell (W26) should equal ZERO!"," ")</f>
        <v xml:space="preserve"> </v>
      </c>
    </row>
    <row r="37" spans="1:26" ht="16.2" thickBot="1">
      <c r="A37" s="964" t="s">
        <v>449</v>
      </c>
      <c r="B37" s="955"/>
      <c r="C37" s="955"/>
      <c r="D37" s="955"/>
      <c r="E37" s="955"/>
      <c r="F37" s="955"/>
      <c r="G37" s="955"/>
      <c r="H37" s="955"/>
      <c r="I37" s="955"/>
      <c r="J37" s="955"/>
      <c r="K37" s="955"/>
      <c r="L37" s="955"/>
      <c r="M37" s="955"/>
      <c r="N37" s="955"/>
      <c r="O37" s="955"/>
      <c r="P37" s="955"/>
      <c r="Q37" s="955"/>
      <c r="R37" s="955"/>
      <c r="S37" s="955"/>
      <c r="T37" s="955"/>
      <c r="U37" s="955"/>
      <c r="V37" s="955"/>
      <c r="W37" s="967"/>
      <c r="Y37" s="704" t="s">
        <v>492</v>
      </c>
    </row>
    <row r="38" spans="1:26">
      <c r="A38" s="889" t="s">
        <v>504</v>
      </c>
      <c r="B38" s="905"/>
      <c r="C38" s="905"/>
      <c r="D38" s="905"/>
      <c r="E38" s="905"/>
      <c r="F38" s="905"/>
      <c r="G38" s="905"/>
      <c r="H38" s="905"/>
      <c r="I38" s="905"/>
      <c r="J38" s="905"/>
      <c r="K38" s="905"/>
      <c r="L38" s="905"/>
      <c r="M38" s="905"/>
      <c r="N38" s="905"/>
      <c r="O38" s="1379">
        <f>Input!$E$151</f>
        <v>0</v>
      </c>
      <c r="P38" s="1380"/>
      <c r="Q38" s="1380"/>
      <c r="R38" s="1380"/>
      <c r="S38" s="1380"/>
      <c r="T38" s="1380"/>
      <c r="U38" s="1380"/>
      <c r="V38" s="1380"/>
      <c r="W38" s="1381"/>
    </row>
    <row r="39" spans="1:26">
      <c r="A39" s="903" t="s">
        <v>450</v>
      </c>
      <c r="B39" s="883"/>
      <c r="C39" s="883"/>
      <c r="D39" s="883"/>
      <c r="E39" s="883"/>
      <c r="F39" s="883"/>
      <c r="G39" s="883"/>
      <c r="H39" s="883"/>
      <c r="I39" s="883"/>
      <c r="J39" s="883"/>
      <c r="K39" s="883"/>
      <c r="L39" s="883"/>
      <c r="M39" s="883"/>
      <c r="N39" s="883"/>
      <c r="O39" s="1345">
        <v>0</v>
      </c>
      <c r="P39" s="1346"/>
      <c r="Q39" s="1346"/>
      <c r="R39" s="1346"/>
      <c r="S39" s="1346"/>
      <c r="T39" s="1346"/>
      <c r="U39" s="1346"/>
      <c r="V39" s="1346"/>
      <c r="W39" s="1347"/>
    </row>
    <row r="40" spans="1:26">
      <c r="A40" s="903" t="s">
        <v>451</v>
      </c>
      <c r="B40" s="883"/>
      <c r="C40" s="883"/>
      <c r="D40" s="883"/>
      <c r="E40" s="883"/>
      <c r="F40" s="883"/>
      <c r="G40" s="883"/>
      <c r="H40" s="883"/>
      <c r="I40" s="883"/>
      <c r="J40" s="883"/>
      <c r="K40" s="883"/>
      <c r="L40" s="883"/>
      <c r="M40" s="883"/>
      <c r="N40" s="883"/>
      <c r="O40" s="1348">
        <f>Input!$E$152</f>
        <v>0</v>
      </c>
      <c r="P40" s="1349"/>
      <c r="Q40" s="1349"/>
      <c r="R40" s="1349"/>
      <c r="S40" s="1349"/>
      <c r="T40" s="1349"/>
      <c r="U40" s="1349"/>
      <c r="V40" s="1349"/>
      <c r="W40" s="1350"/>
    </row>
    <row r="41" spans="1:26">
      <c r="A41" s="968" t="s">
        <v>452</v>
      </c>
      <c r="B41" s="948"/>
      <c r="C41" s="948"/>
      <c r="D41" s="883"/>
      <c r="E41" s="962"/>
      <c r="F41" s="883"/>
      <c r="G41" s="948"/>
      <c r="H41" s="948"/>
      <c r="I41" s="948"/>
      <c r="J41" s="948"/>
      <c r="K41" s="948"/>
      <c r="L41" s="948"/>
      <c r="M41" s="883"/>
      <c r="N41" s="883"/>
      <c r="O41" s="1351">
        <f>O38-(SUM(O39:W40))</f>
        <v>0</v>
      </c>
      <c r="P41" s="1349"/>
      <c r="Q41" s="1349"/>
      <c r="R41" s="1349"/>
      <c r="S41" s="1349"/>
      <c r="T41" s="1349"/>
      <c r="U41" s="1349"/>
      <c r="V41" s="1349"/>
      <c r="W41" s="1350"/>
    </row>
    <row r="42" spans="1:26">
      <c r="A42" s="1047" t="s">
        <v>373</v>
      </c>
      <c r="B42" s="969" t="s">
        <v>453</v>
      </c>
      <c r="C42" s="970"/>
      <c r="D42" s="971" t="s">
        <v>365</v>
      </c>
      <c r="E42" s="972"/>
      <c r="F42" s="973" t="s">
        <v>454</v>
      </c>
      <c r="G42" s="974" t="s">
        <v>455</v>
      </c>
      <c r="H42" s="975" t="s">
        <v>456</v>
      </c>
      <c r="I42" s="976"/>
      <c r="J42" s="977"/>
      <c r="K42" s="978" t="s">
        <v>457</v>
      </c>
      <c r="L42" s="976"/>
      <c r="M42" s="979"/>
      <c r="N42" s="980"/>
      <c r="O42" s="981"/>
      <c r="P42" s="982"/>
      <c r="Q42" s="977"/>
      <c r="R42" s="975" t="s">
        <v>458</v>
      </c>
      <c r="S42" s="977"/>
      <c r="T42" s="982"/>
      <c r="U42" s="976"/>
      <c r="V42" s="976"/>
      <c r="W42" s="983"/>
    </row>
    <row r="43" spans="1:26">
      <c r="A43" s="984" t="s">
        <v>459</v>
      </c>
      <c r="B43" s="880" t="str">
        <f>IF(ISTEXT(Input!F86)=TRUE,Input!F86," ")</f>
        <v>Predetermined</v>
      </c>
      <c r="C43" s="985"/>
      <c r="D43" s="986"/>
      <c r="E43" s="987">
        <f>IDC!D7</f>
        <v>0.08</v>
      </c>
      <c r="F43" s="1034">
        <f>IF(ISNUMBER(Input!J102),Input!J102,Input!H94)</f>
        <v>42277</v>
      </c>
      <c r="G43" s="1035">
        <f>Input!I94</f>
        <v>42613</v>
      </c>
      <c r="H43" s="1356">
        <f>Reconciliation!K49+(Input!O94-Input!M94)</f>
        <v>76903.444444444438</v>
      </c>
      <c r="I43" s="1356"/>
      <c r="J43" s="1356"/>
      <c r="K43" s="1352">
        <f>Reconciliation!L49+(Input!P94-Input!N94)</f>
        <v>6152.275555555555</v>
      </c>
      <c r="L43" s="1353"/>
      <c r="M43" s="1353"/>
      <c r="N43" s="1353"/>
      <c r="O43" s="1353"/>
      <c r="P43" s="1353"/>
      <c r="Q43" s="1354"/>
      <c r="R43" s="1361">
        <f>K43</f>
        <v>6152.275555555555</v>
      </c>
      <c r="S43" s="1362"/>
      <c r="T43" s="1362"/>
      <c r="U43" s="1362"/>
      <c r="V43" s="1362"/>
      <c r="W43" s="1363"/>
      <c r="Y43" s="704" t="s">
        <v>493</v>
      </c>
    </row>
    <row r="44" spans="1:26">
      <c r="A44" s="1393"/>
      <c r="B44" s="881" t="str">
        <f>IF(ISTEXT(Input!F87)=TRUE,Input!F87," ")</f>
        <v>Predetermined</v>
      </c>
      <c r="C44" s="988"/>
      <c r="D44" s="989"/>
      <c r="E44" s="987">
        <f>IF(ISNUMBER(IDC!D8),IDC!D8,IF(ISNUMBER(Input!J110),Input!J110," "))</f>
        <v>0</v>
      </c>
      <c r="F44" s="1034" t="str">
        <f>IF(ISNUMBER(Input!J107),Input!J107,IF(Input!H95&gt;1/1/1900,Input!H95," "))</f>
        <v/>
      </c>
      <c r="G44" s="1035" t="str">
        <f>IF(ISNUMBER(Input!I95),Input!I95,IF(Input!J107&gt;1/1/1900,'SF425-FFR'!F43-1," "))</f>
        <v xml:space="preserve"> </v>
      </c>
      <c r="H44" s="1356">
        <f>Reconciliation!K50+Input!J108</f>
        <v>0</v>
      </c>
      <c r="I44" s="1356"/>
      <c r="J44" s="1356"/>
      <c r="K44" s="1352">
        <f>Reconciliation!L50+Input!J109</f>
        <v>0</v>
      </c>
      <c r="L44" s="1353"/>
      <c r="M44" s="1353"/>
      <c r="N44" s="1353"/>
      <c r="O44" s="1353"/>
      <c r="P44" s="1353"/>
      <c r="Q44" s="1354"/>
      <c r="R44" s="1394">
        <f>K44</f>
        <v>0</v>
      </c>
      <c r="S44" s="1394"/>
      <c r="T44" s="1394"/>
      <c r="U44" s="1394"/>
      <c r="V44" s="1394"/>
      <c r="W44" s="1394"/>
      <c r="Y44" s="704" t="s">
        <v>494</v>
      </c>
      <c r="Z44" s="575" t="s">
        <v>497</v>
      </c>
    </row>
    <row r="45" spans="1:26">
      <c r="A45" s="1393"/>
      <c r="B45" s="881" t="str">
        <f>IF(ISTEXT(Input!F88)=TRUE,Input!F88," ")</f>
        <v>Predetermined</v>
      </c>
      <c r="C45" s="990"/>
      <c r="D45" s="991"/>
      <c r="E45" s="987">
        <f>IF(ISNUMBER(IDC!D9),IDC!D9,IF(ISNUMBER(Input!L105),Input!L105," "))</f>
        <v>0</v>
      </c>
      <c r="F45" s="1034" t="str">
        <f>IF(ISNUMBER(Input!L102),Input!L102,IF(Input!H88&gt;1/1/1900,Input!H96," "))</f>
        <v xml:space="preserve"> </v>
      </c>
      <c r="G45" s="1035" t="str">
        <f>IF(ISNUMBER(Input!I96),Input!I96,IF(Input!L102&gt;1/1/1900,'SF425-FFR'!F44-1," "))</f>
        <v xml:space="preserve"> </v>
      </c>
      <c r="H45" s="1356">
        <f>Reconciliation!K51+Input!L103</f>
        <v>0</v>
      </c>
      <c r="I45" s="1356"/>
      <c r="J45" s="1356"/>
      <c r="K45" s="1352">
        <f>Reconciliation!L51+Input!L104</f>
        <v>0</v>
      </c>
      <c r="L45" s="1353"/>
      <c r="M45" s="1353"/>
      <c r="N45" s="1353"/>
      <c r="O45" s="1353"/>
      <c r="P45" s="1353"/>
      <c r="Q45" s="1354"/>
      <c r="R45" s="1394">
        <f>K45</f>
        <v>0</v>
      </c>
      <c r="S45" s="1394"/>
      <c r="T45" s="1394"/>
      <c r="U45" s="1394"/>
      <c r="V45" s="1394"/>
      <c r="W45" s="1394"/>
    </row>
    <row r="46" spans="1:26">
      <c r="A46" s="1393"/>
      <c r="B46" s="881" t="str">
        <f>IF(ISTEXT(Input!F89)=TRUE,Input!F89," ")</f>
        <v xml:space="preserve"> </v>
      </c>
      <c r="C46" s="990"/>
      <c r="D46" s="991"/>
      <c r="E46" s="987">
        <f>IF(ISNUMBER(IDC!D10),IDC!D10,IF(ISNUMBER(Input!L110),Input!L110," "))</f>
        <v>0</v>
      </c>
      <c r="F46" s="1034" t="str">
        <f>IF(ISNUMBER(Input!L107),Input!L107,IF(Input!H89&gt;1/1/1900,Input!H97," "))</f>
        <v xml:space="preserve"> </v>
      </c>
      <c r="G46" s="1035" t="str">
        <f>IF(ISNUMBER(Input!I97),Input!I97,IF(Input!L107&gt;1/1/1900,'SF425-FFR'!F45-1," "))</f>
        <v xml:space="preserve"> </v>
      </c>
      <c r="H46" s="1356">
        <f>Reconciliation!K52+Input!L108</f>
        <v>0</v>
      </c>
      <c r="I46" s="1356"/>
      <c r="J46" s="1356"/>
      <c r="K46" s="1352">
        <f>Reconciliation!L52+Input!L109</f>
        <v>0</v>
      </c>
      <c r="L46" s="1353"/>
      <c r="M46" s="1353"/>
      <c r="N46" s="1353"/>
      <c r="O46" s="1353"/>
      <c r="P46" s="1353"/>
      <c r="Q46" s="1354"/>
      <c r="R46" s="1394">
        <f>K46</f>
        <v>0</v>
      </c>
      <c r="S46" s="1394"/>
      <c r="T46" s="1394"/>
      <c r="U46" s="1394"/>
      <c r="V46" s="1394"/>
      <c r="W46" s="1394"/>
    </row>
    <row r="47" spans="1:26" ht="16.2" thickBot="1">
      <c r="A47" s="992"/>
      <c r="B47" s="993" t="str">
        <f>IF(ISTEXT(Input!F90)=TRUE,Input!F90," ")</f>
        <v xml:space="preserve"> </v>
      </c>
      <c r="C47" s="994"/>
      <c r="D47" s="995"/>
      <c r="E47" s="996"/>
      <c r="F47" s="1036"/>
      <c r="G47" s="1037"/>
      <c r="H47" s="1357"/>
      <c r="I47" s="1358"/>
      <c r="J47" s="1359"/>
      <c r="K47" s="1364"/>
      <c r="L47" s="1365"/>
      <c r="M47" s="1365"/>
      <c r="N47" s="1365"/>
      <c r="O47" s="1365"/>
      <c r="P47" s="1365"/>
      <c r="Q47" s="1366"/>
      <c r="R47" s="1364"/>
      <c r="S47" s="1365"/>
      <c r="T47" s="1365"/>
      <c r="U47" s="1365"/>
      <c r="V47" s="1365"/>
      <c r="W47" s="1366"/>
    </row>
    <row r="48" spans="1:26">
      <c r="A48" s="997"/>
      <c r="B48" s="998"/>
      <c r="C48" s="999"/>
      <c r="D48" s="1000"/>
      <c r="E48" s="1001"/>
      <c r="F48" s="1002"/>
      <c r="G48" s="1003" t="s">
        <v>460</v>
      </c>
      <c r="H48" s="1360">
        <f>SUM(H43:J47)</f>
        <v>76903.444444444438</v>
      </c>
      <c r="I48" s="1360"/>
      <c r="J48" s="1360"/>
      <c r="K48" s="1360">
        <f>SUM(K43:Q47)</f>
        <v>6152.275555555555</v>
      </c>
      <c r="L48" s="1360"/>
      <c r="M48" s="1360"/>
      <c r="N48" s="1360"/>
      <c r="O48" s="1360"/>
      <c r="P48" s="1360"/>
      <c r="Q48" s="1360"/>
      <c r="R48" s="1367">
        <f>SUM(R43:W47)</f>
        <v>6152.275555555555</v>
      </c>
      <c r="S48" s="1367"/>
      <c r="T48" s="1367"/>
      <c r="U48" s="1367"/>
      <c r="V48" s="1367"/>
      <c r="W48" s="1367"/>
      <c r="Y48" s="705">
        <f>O29-B50-H48-R48</f>
        <v>8.1854523159563541E-12</v>
      </c>
      <c r="Z48" s="575" t="s">
        <v>501</v>
      </c>
    </row>
    <row r="49" spans="1:26">
      <c r="A49" s="1004" t="s">
        <v>461</v>
      </c>
      <c r="B49" s="1005"/>
      <c r="C49" s="1005"/>
      <c r="D49" s="1005"/>
      <c r="E49" s="1005"/>
      <c r="F49" s="1005"/>
      <c r="G49" s="1005"/>
      <c r="H49" s="1006"/>
      <c r="I49" s="1005"/>
      <c r="J49" s="908"/>
      <c r="K49" s="1005"/>
      <c r="L49" s="1005"/>
      <c r="M49" s="1005"/>
      <c r="N49" s="1005"/>
      <c r="O49" s="1005"/>
      <c r="P49" s="1005"/>
      <c r="Q49" s="1005"/>
      <c r="R49" s="1005"/>
      <c r="S49" s="1005"/>
      <c r="T49" s="1005"/>
      <c r="U49" s="1005"/>
      <c r="V49" s="1005"/>
      <c r="W49" s="908"/>
    </row>
    <row r="50" spans="1:26">
      <c r="A50" s="1007" t="s">
        <v>496</v>
      </c>
      <c r="B50" s="1056">
        <f>(Input!$L$94+Input!$E$122-Input!$E$132-Input!$D$174)+IDC!$F$8+IDC!$F$9+IDC!$F$10+Input!J112</f>
        <v>0</v>
      </c>
      <c r="C50" s="893"/>
      <c r="D50" s="893"/>
      <c r="E50" s="1008"/>
      <c r="F50" s="1052"/>
      <c r="G50" s="893"/>
      <c r="H50" s="893"/>
      <c r="I50" s="893"/>
      <c r="J50" s="893"/>
      <c r="K50" s="893"/>
      <c r="L50" s="893"/>
      <c r="M50" s="893"/>
      <c r="N50" s="893"/>
      <c r="O50" s="893"/>
      <c r="P50" s="893"/>
      <c r="Q50" s="893"/>
      <c r="R50" s="893"/>
      <c r="S50" s="893"/>
      <c r="T50" s="893"/>
      <c r="U50" s="893"/>
      <c r="V50" s="893"/>
      <c r="W50" s="901"/>
      <c r="Z50" s="575" t="s">
        <v>498</v>
      </c>
    </row>
    <row r="51" spans="1:26">
      <c r="A51" s="1009"/>
      <c r="B51" s="893"/>
      <c r="C51" s="893"/>
      <c r="D51" s="893"/>
      <c r="E51" s="893"/>
      <c r="F51" s="893"/>
      <c r="G51" s="893"/>
      <c r="H51" s="893"/>
      <c r="I51" s="893"/>
      <c r="J51" s="893"/>
      <c r="K51" s="893"/>
      <c r="L51" s="893"/>
      <c r="M51" s="893"/>
      <c r="N51" s="893"/>
      <c r="O51" s="893"/>
      <c r="P51" s="893"/>
      <c r="Q51" s="893"/>
      <c r="R51" s="893"/>
      <c r="S51" s="893"/>
      <c r="T51" s="893"/>
      <c r="U51" s="893"/>
      <c r="V51" s="893"/>
      <c r="W51" s="901"/>
    </row>
    <row r="52" spans="1:26">
      <c r="A52" s="1053" t="str">
        <f>IF(Input!D288="","",Input!D288)</f>
        <v/>
      </c>
      <c r="B52" s="893"/>
      <c r="C52" s="893"/>
      <c r="D52" s="893"/>
      <c r="E52" s="893"/>
      <c r="F52" s="893"/>
      <c r="G52" s="893"/>
      <c r="H52" s="893"/>
      <c r="I52" s="893"/>
      <c r="J52" s="893"/>
      <c r="K52" s="893"/>
      <c r="L52" s="893"/>
      <c r="M52" s="893"/>
      <c r="N52" s="893"/>
      <c r="O52" s="893"/>
      <c r="P52" s="893"/>
      <c r="Q52" s="893"/>
      <c r="R52" s="893"/>
      <c r="S52" s="893"/>
      <c r="T52" s="893"/>
      <c r="U52" s="893"/>
      <c r="V52" s="893"/>
      <c r="W52" s="901"/>
      <c r="Y52" s="704" t="s">
        <v>495</v>
      </c>
    </row>
    <row r="53" spans="1:26" ht="15.75" customHeight="1">
      <c r="A53" s="1054" t="str">
        <f>Input!C284&amp;" "&amp;Input!C285&amp;" "&amp;Input!C286&amp;" "&amp;Input!C287</f>
        <v xml:space="preserve">The unobligated balance of $26,811.28 is being brought forward from year 1 to year 2 as additional funding.   </v>
      </c>
      <c r="B53" s="893"/>
      <c r="C53" s="893"/>
      <c r="D53" s="893"/>
      <c r="E53" s="893"/>
      <c r="F53" s="893"/>
      <c r="G53" s="893"/>
      <c r="H53" s="893"/>
      <c r="I53" s="893"/>
      <c r="J53" s="893"/>
      <c r="K53" s="893"/>
      <c r="L53" s="893"/>
      <c r="M53" s="893"/>
      <c r="N53" s="893"/>
      <c r="O53" s="893"/>
      <c r="P53" s="893"/>
      <c r="Q53" s="893"/>
      <c r="R53" s="893"/>
      <c r="S53" s="893"/>
      <c r="T53" s="893"/>
      <c r="U53" s="893"/>
      <c r="V53" s="893"/>
      <c r="W53" s="901"/>
    </row>
    <row r="54" spans="1:26">
      <c r="A54" s="578"/>
      <c r="B54" s="565"/>
      <c r="C54" s="565"/>
      <c r="D54" s="565"/>
      <c r="E54" s="565"/>
      <c r="F54" s="565"/>
      <c r="G54" s="565"/>
      <c r="H54" s="565"/>
      <c r="I54" s="565"/>
      <c r="J54" s="565"/>
      <c r="K54" s="565"/>
      <c r="L54" s="565"/>
      <c r="M54" s="565"/>
      <c r="N54" s="565"/>
      <c r="O54" s="565"/>
      <c r="P54" s="565"/>
      <c r="Q54" s="565"/>
      <c r="R54" s="565"/>
      <c r="S54" s="565"/>
      <c r="T54" s="565"/>
      <c r="U54" s="565"/>
      <c r="V54" s="565"/>
      <c r="W54" s="566"/>
    </row>
    <row r="55" spans="1:26">
      <c r="A55" s="579"/>
      <c r="B55" s="567"/>
      <c r="C55" s="567"/>
      <c r="D55" s="567"/>
      <c r="E55" s="567"/>
      <c r="F55" s="567"/>
      <c r="G55" s="567"/>
      <c r="H55" s="567"/>
      <c r="I55" s="567"/>
      <c r="J55" s="567"/>
      <c r="K55" s="567"/>
      <c r="L55" s="567"/>
      <c r="M55" s="567"/>
      <c r="N55" s="567"/>
      <c r="O55" s="567"/>
      <c r="P55" s="567"/>
      <c r="Q55" s="567"/>
      <c r="R55" s="567"/>
      <c r="S55" s="567"/>
      <c r="T55" s="567"/>
      <c r="U55" s="567"/>
      <c r="V55" s="567"/>
      <c r="W55" s="573"/>
    </row>
    <row r="56" spans="1:26">
      <c r="A56" s="1330" t="s">
        <v>505</v>
      </c>
      <c r="B56" s="1331"/>
      <c r="C56" s="1331"/>
      <c r="D56" s="1331"/>
      <c r="E56" s="1331"/>
      <c r="F56" s="1331"/>
      <c r="G56" s="1331"/>
      <c r="H56" s="1331"/>
      <c r="I56" s="1331"/>
      <c r="J56" s="1331"/>
      <c r="K56" s="1331"/>
      <c r="L56" s="1331"/>
      <c r="M56" s="1331"/>
      <c r="N56" s="1331"/>
      <c r="O56" s="1331"/>
      <c r="P56" s="1331"/>
      <c r="Q56" s="1331"/>
      <c r="R56" s="1331"/>
      <c r="S56" s="1331"/>
      <c r="T56" s="1331"/>
      <c r="U56" s="1331"/>
      <c r="V56" s="1331"/>
      <c r="W56" s="1332"/>
    </row>
    <row r="57" spans="1:26" ht="30" customHeight="1">
      <c r="A57" s="1333"/>
      <c r="B57" s="1334"/>
      <c r="C57" s="1334"/>
      <c r="D57" s="1334"/>
      <c r="E57" s="1334"/>
      <c r="F57" s="1334"/>
      <c r="G57" s="1334"/>
      <c r="H57" s="1334"/>
      <c r="I57" s="1334"/>
      <c r="J57" s="1334"/>
      <c r="K57" s="1334"/>
      <c r="L57" s="1334"/>
      <c r="M57" s="1334"/>
      <c r="N57" s="1334"/>
      <c r="O57" s="1334"/>
      <c r="P57" s="1334"/>
      <c r="Q57" s="1334"/>
      <c r="R57" s="1334"/>
      <c r="S57" s="1334"/>
      <c r="T57" s="1334"/>
      <c r="U57" s="1334"/>
      <c r="V57" s="1334"/>
      <c r="W57" s="1335"/>
    </row>
    <row r="58" spans="1:26">
      <c r="A58" s="568" t="s">
        <v>462</v>
      </c>
      <c r="B58" s="561"/>
      <c r="C58" s="561"/>
      <c r="D58" s="561"/>
      <c r="E58" s="561"/>
      <c r="F58" s="561"/>
      <c r="G58" s="561"/>
      <c r="H58" s="561"/>
      <c r="I58" s="561"/>
      <c r="J58" s="561"/>
      <c r="K58" s="568" t="s">
        <v>463</v>
      </c>
      <c r="L58" s="561"/>
      <c r="M58" s="561"/>
      <c r="N58" s="561"/>
      <c r="O58" s="561"/>
      <c r="P58" s="561"/>
      <c r="Q58" s="561"/>
      <c r="R58" s="561"/>
      <c r="S58" s="561"/>
      <c r="T58" s="561"/>
      <c r="U58" s="561"/>
      <c r="V58" s="561"/>
      <c r="W58" s="571"/>
    </row>
    <row r="59" spans="1:26">
      <c r="A59" s="563"/>
      <c r="B59" s="564"/>
      <c r="C59" s="564"/>
      <c r="D59" s="564"/>
      <c r="E59" s="564"/>
      <c r="F59" s="564"/>
      <c r="G59" s="564"/>
      <c r="H59" s="564"/>
      <c r="I59" s="564"/>
      <c r="J59" s="564"/>
      <c r="K59" s="563"/>
      <c r="L59" s="564" t="s">
        <v>475</v>
      </c>
      <c r="M59" s="580"/>
      <c r="N59" s="564"/>
      <c r="O59" s="564"/>
      <c r="P59" s="564"/>
      <c r="Q59" s="564"/>
      <c r="R59" s="564"/>
      <c r="S59" s="564"/>
      <c r="T59" s="564"/>
      <c r="U59" s="564"/>
      <c r="V59" s="581"/>
      <c r="W59" s="566"/>
    </row>
    <row r="60" spans="1:26">
      <c r="A60" s="1055" t="str">
        <f>Input!D4&amp;" , "&amp;Input!D6</f>
        <v>Kirsten DeFries , Director of Campus Services, GCA</v>
      </c>
      <c r="C60" s="564"/>
      <c r="D60" s="564"/>
      <c r="E60" s="564"/>
      <c r="F60" s="564"/>
      <c r="G60" s="564"/>
      <c r="H60" s="564"/>
      <c r="I60" s="564"/>
      <c r="J60" s="564"/>
      <c r="K60" s="582" t="s">
        <v>464</v>
      </c>
      <c r="L60" s="576"/>
      <c r="M60" s="576"/>
      <c r="N60" s="576"/>
      <c r="O60" s="576"/>
      <c r="P60" s="576"/>
      <c r="Q60" s="576"/>
      <c r="R60" s="576"/>
      <c r="S60" s="576"/>
      <c r="T60" s="576"/>
      <c r="U60" s="576"/>
      <c r="V60" s="576"/>
      <c r="W60" s="577"/>
    </row>
    <row r="61" spans="1:26">
      <c r="A61" s="563"/>
      <c r="B61" s="564"/>
      <c r="C61" s="564"/>
      <c r="D61" s="564"/>
      <c r="E61" s="564"/>
      <c r="F61" s="564"/>
      <c r="G61" s="564"/>
      <c r="H61" s="564"/>
      <c r="I61" s="564"/>
      <c r="J61" s="564"/>
      <c r="K61" s="574"/>
      <c r="L61" s="619" t="s">
        <v>474</v>
      </c>
      <c r="M61" s="567"/>
      <c r="N61" s="567"/>
      <c r="O61" s="567"/>
      <c r="P61" s="567"/>
      <c r="Q61" s="567"/>
      <c r="R61" s="567"/>
      <c r="S61" s="567"/>
      <c r="T61" s="567"/>
      <c r="U61" s="567"/>
      <c r="V61" s="583"/>
      <c r="W61" s="573"/>
    </row>
    <row r="62" spans="1:26">
      <c r="A62" s="568" t="s">
        <v>465</v>
      </c>
      <c r="B62" s="561"/>
      <c r="C62" s="561"/>
      <c r="D62" s="561"/>
      <c r="E62" s="561"/>
      <c r="F62" s="561"/>
      <c r="G62" s="561"/>
      <c r="H62" s="561"/>
      <c r="I62" s="561"/>
      <c r="J62" s="561"/>
      <c r="K62" s="562" t="s">
        <v>466</v>
      </c>
      <c r="L62" s="559"/>
      <c r="M62" s="559"/>
      <c r="N62" s="559"/>
      <c r="O62" s="559"/>
      <c r="P62" s="559"/>
      <c r="Q62" s="559"/>
      <c r="R62" s="559"/>
      <c r="S62" s="559"/>
      <c r="T62" s="559"/>
      <c r="U62" s="559"/>
      <c r="V62" s="559"/>
      <c r="W62" s="572"/>
    </row>
    <row r="63" spans="1:26">
      <c r="A63" s="562"/>
      <c r="B63" s="558"/>
      <c r="C63" s="558"/>
      <c r="D63" s="558"/>
      <c r="E63" s="558"/>
      <c r="F63" s="558"/>
      <c r="G63" s="558"/>
      <c r="H63" s="558"/>
      <c r="I63" s="558"/>
      <c r="J63" s="558"/>
      <c r="K63" s="563"/>
      <c r="L63" s="1355">
        <f ca="1">TODAY()</f>
        <v>42849</v>
      </c>
      <c r="M63" s="1355"/>
      <c r="N63" s="1355"/>
      <c r="O63" s="1355"/>
      <c r="P63" s="1355"/>
      <c r="Q63" s="1355"/>
      <c r="R63" s="1355"/>
      <c r="S63" s="1355"/>
      <c r="T63" s="1355"/>
      <c r="U63" s="1355"/>
      <c r="V63" s="1355"/>
      <c r="W63" s="566"/>
    </row>
    <row r="64" spans="1:26">
      <c r="A64" s="561" t="s">
        <v>467</v>
      </c>
      <c r="B64" s="561"/>
      <c r="C64" s="561"/>
      <c r="D64" s="561"/>
      <c r="E64" s="561"/>
      <c r="F64" s="561"/>
      <c r="G64" s="561"/>
      <c r="H64" s="561"/>
      <c r="I64" s="561"/>
      <c r="J64" s="561"/>
      <c r="K64" s="706" t="s">
        <v>468</v>
      </c>
      <c r="L64" s="707"/>
      <c r="M64" s="707"/>
      <c r="N64" s="707"/>
      <c r="O64" s="707"/>
      <c r="P64" s="707"/>
      <c r="Q64" s="707"/>
      <c r="R64" s="707"/>
      <c r="S64" s="707"/>
      <c r="T64" s="707"/>
      <c r="U64" s="707"/>
      <c r="V64" s="707"/>
      <c r="W64" s="708"/>
    </row>
    <row r="65" spans="1:25">
      <c r="A65" s="407" t="s">
        <v>470</v>
      </c>
      <c r="B65" s="584"/>
      <c r="C65" s="558"/>
      <c r="D65" s="558"/>
      <c r="E65" s="558"/>
      <c r="F65" s="558"/>
      <c r="G65" s="558"/>
      <c r="H65" s="558"/>
      <c r="I65" s="558"/>
      <c r="J65" s="558"/>
      <c r="K65" s="709"/>
      <c r="L65" s="710"/>
      <c r="M65" s="710" t="s">
        <v>11</v>
      </c>
      <c r="N65" s="710"/>
      <c r="O65" s="710"/>
      <c r="P65" s="710"/>
      <c r="Q65" s="710"/>
      <c r="R65" s="710"/>
      <c r="S65" s="710"/>
      <c r="T65" s="710"/>
      <c r="U65" s="710"/>
      <c r="V65" s="710"/>
      <c r="W65" s="711"/>
    </row>
    <row r="66" spans="1:25">
      <c r="A66" s="558"/>
      <c r="B66" s="558"/>
      <c r="C66" s="558"/>
      <c r="D66" s="558"/>
      <c r="E66" s="558"/>
      <c r="F66" s="558"/>
      <c r="G66" s="558"/>
      <c r="H66" s="558"/>
      <c r="I66" s="558"/>
      <c r="J66" s="558"/>
      <c r="K66" s="709"/>
      <c r="L66" s="710"/>
      <c r="M66" s="710"/>
      <c r="N66" s="710"/>
      <c r="O66" s="710"/>
      <c r="P66" s="710"/>
      <c r="Q66" s="710"/>
      <c r="R66" s="710"/>
      <c r="S66" s="710"/>
      <c r="T66" s="710"/>
      <c r="U66" s="710"/>
      <c r="V66" s="710"/>
      <c r="W66" s="712"/>
    </row>
    <row r="67" spans="1:25">
      <c r="A67" s="558"/>
      <c r="B67" s="558"/>
      <c r="C67" s="558"/>
      <c r="D67" s="558"/>
      <c r="E67" s="558"/>
      <c r="F67" s="558"/>
      <c r="G67" s="558"/>
      <c r="H67" s="558"/>
      <c r="I67" s="558"/>
      <c r="J67" s="558"/>
      <c r="K67" s="561"/>
      <c r="L67" s="561"/>
      <c r="M67" s="569" t="s">
        <v>506</v>
      </c>
      <c r="N67" s="569"/>
      <c r="O67" s="569"/>
      <c r="P67" s="585"/>
      <c r="Q67" s="585"/>
      <c r="R67" s="585"/>
      <c r="S67" s="561"/>
      <c r="T67" s="561"/>
      <c r="U67" s="561"/>
      <c r="V67" s="561"/>
      <c r="W67" s="559"/>
    </row>
    <row r="68" spans="1:25">
      <c r="A68" s="558"/>
      <c r="B68" s="558"/>
      <c r="C68" s="558"/>
      <c r="D68" s="558"/>
      <c r="E68" s="558"/>
      <c r="F68" s="558"/>
      <c r="G68" s="558"/>
      <c r="H68" s="558"/>
      <c r="I68" s="558"/>
      <c r="J68" s="558"/>
      <c r="K68" s="558"/>
      <c r="L68" s="558"/>
      <c r="M68" s="586" t="s">
        <v>507</v>
      </c>
      <c r="N68" s="586"/>
      <c r="O68" s="586"/>
      <c r="P68" s="570"/>
      <c r="Q68" s="570"/>
      <c r="R68" s="570"/>
      <c r="S68" s="587"/>
      <c r="T68" s="558"/>
      <c r="U68" s="559"/>
      <c r="V68" s="559"/>
      <c r="W68" s="559"/>
    </row>
    <row r="69" spans="1:25" ht="16.2" thickBot="1">
      <c r="A69" s="559"/>
      <c r="B69" s="559"/>
      <c r="C69" s="559"/>
      <c r="D69" s="559"/>
      <c r="E69" s="559"/>
      <c r="F69" s="559"/>
      <c r="G69" s="559"/>
      <c r="H69" s="559"/>
      <c r="I69" s="559"/>
      <c r="J69" s="559"/>
      <c r="K69" s="559"/>
      <c r="L69" s="559"/>
      <c r="M69" s="588" t="s">
        <v>508</v>
      </c>
      <c r="N69" s="588"/>
      <c r="O69" s="588"/>
      <c r="P69" s="589"/>
      <c r="Q69" s="589"/>
      <c r="R69" s="589"/>
      <c r="S69" s="559"/>
      <c r="T69" s="559"/>
      <c r="U69" s="559"/>
      <c r="V69" s="559"/>
      <c r="W69" s="559"/>
    </row>
    <row r="70" spans="1:25" ht="4.5" customHeight="1">
      <c r="A70" s="1336" t="s">
        <v>509</v>
      </c>
      <c r="B70" s="1337"/>
      <c r="C70" s="1337"/>
      <c r="D70" s="1337"/>
      <c r="E70" s="1337"/>
      <c r="F70" s="1337"/>
      <c r="G70" s="1337"/>
      <c r="H70" s="1337"/>
      <c r="I70" s="1337"/>
      <c r="J70" s="1337"/>
      <c r="K70" s="1337"/>
      <c r="L70" s="1337"/>
      <c r="M70" s="1337"/>
      <c r="N70" s="1337"/>
      <c r="O70" s="1337"/>
      <c r="P70" s="1337"/>
      <c r="Q70" s="1337"/>
      <c r="R70" s="1337"/>
      <c r="S70" s="1337"/>
      <c r="T70" s="1337"/>
      <c r="U70" s="1337"/>
      <c r="V70" s="1337"/>
      <c r="W70" s="1338"/>
    </row>
    <row r="71" spans="1:25" ht="18" customHeight="1">
      <c r="A71" s="1339"/>
      <c r="B71" s="1340"/>
      <c r="C71" s="1340"/>
      <c r="D71" s="1340"/>
      <c r="E71" s="1340"/>
      <c r="F71" s="1340"/>
      <c r="G71" s="1340"/>
      <c r="H71" s="1340"/>
      <c r="I71" s="1340"/>
      <c r="J71" s="1340"/>
      <c r="K71" s="1340"/>
      <c r="L71" s="1340"/>
      <c r="M71" s="1340"/>
      <c r="N71" s="1340"/>
      <c r="O71" s="1340"/>
      <c r="P71" s="1340"/>
      <c r="Q71" s="1340"/>
      <c r="R71" s="1340"/>
      <c r="S71" s="1340"/>
      <c r="T71" s="1340"/>
      <c r="U71" s="1340"/>
      <c r="V71" s="1340"/>
      <c r="W71" s="1341"/>
    </row>
    <row r="72" spans="1:25" ht="18" customHeight="1">
      <c r="A72" s="1339"/>
      <c r="B72" s="1340"/>
      <c r="C72" s="1340"/>
      <c r="D72" s="1340"/>
      <c r="E72" s="1340"/>
      <c r="F72" s="1340"/>
      <c r="G72" s="1340"/>
      <c r="H72" s="1340"/>
      <c r="I72" s="1340"/>
      <c r="J72" s="1340"/>
      <c r="K72" s="1340"/>
      <c r="L72" s="1340"/>
      <c r="M72" s="1340"/>
      <c r="N72" s="1340"/>
      <c r="O72" s="1340"/>
      <c r="P72" s="1340"/>
      <c r="Q72" s="1340"/>
      <c r="R72" s="1340"/>
      <c r="S72" s="1340"/>
      <c r="T72" s="1340"/>
      <c r="U72" s="1340"/>
      <c r="V72" s="1340"/>
      <c r="W72" s="1341"/>
    </row>
    <row r="73" spans="1:25" ht="21.75" customHeight="1" thickBot="1">
      <c r="A73" s="1342"/>
      <c r="B73" s="1343"/>
      <c r="C73" s="1343"/>
      <c r="D73" s="1343"/>
      <c r="E73" s="1343"/>
      <c r="F73" s="1343"/>
      <c r="G73" s="1343"/>
      <c r="H73" s="1343"/>
      <c r="I73" s="1343"/>
      <c r="J73" s="1343"/>
      <c r="K73" s="1343"/>
      <c r="L73" s="1343"/>
      <c r="M73" s="1343"/>
      <c r="N73" s="1343"/>
      <c r="O73" s="1343"/>
      <c r="P73" s="1343"/>
      <c r="Q73" s="1343"/>
      <c r="R73" s="1343"/>
      <c r="S73" s="1343"/>
      <c r="T73" s="1343"/>
      <c r="U73" s="1343"/>
      <c r="V73" s="1343"/>
      <c r="W73" s="1344"/>
      <c r="Y73" s="704" t="s">
        <v>510</v>
      </c>
    </row>
  </sheetData>
  <mergeCells count="44">
    <mergeCell ref="A6:E7"/>
    <mergeCell ref="A44:A46"/>
    <mergeCell ref="H46:J46"/>
    <mergeCell ref="R46:W46"/>
    <mergeCell ref="K46:Q46"/>
    <mergeCell ref="R44:W44"/>
    <mergeCell ref="R45:W45"/>
    <mergeCell ref="O31:W31"/>
    <mergeCell ref="O32:W32"/>
    <mergeCell ref="O34:W34"/>
    <mergeCell ref="O35:W35"/>
    <mergeCell ref="O36:W36"/>
    <mergeCell ref="R47:W47"/>
    <mergeCell ref="R48:W48"/>
    <mergeCell ref="K47:Q47"/>
    <mergeCell ref="A2:W2"/>
    <mergeCell ref="A3:W3"/>
    <mergeCell ref="A15:B15"/>
    <mergeCell ref="C15:E15"/>
    <mergeCell ref="R18:V18"/>
    <mergeCell ref="O20:W20"/>
    <mergeCell ref="O38:W38"/>
    <mergeCell ref="O23:W23"/>
    <mergeCell ref="O24:W24"/>
    <mergeCell ref="O25:W25"/>
    <mergeCell ref="O28:W28"/>
    <mergeCell ref="O29:W29"/>
    <mergeCell ref="O30:W30"/>
    <mergeCell ref="A56:W57"/>
    <mergeCell ref="A70:W73"/>
    <mergeCell ref="O39:W39"/>
    <mergeCell ref="O40:W40"/>
    <mergeCell ref="O41:W41"/>
    <mergeCell ref="K43:Q43"/>
    <mergeCell ref="K44:Q44"/>
    <mergeCell ref="L63:V63"/>
    <mergeCell ref="K45:Q45"/>
    <mergeCell ref="H43:J43"/>
    <mergeCell ref="H44:J44"/>
    <mergeCell ref="H45:J45"/>
    <mergeCell ref="H47:J47"/>
    <mergeCell ref="H48:J48"/>
    <mergeCell ref="K48:Q48"/>
    <mergeCell ref="R43:W43"/>
  </mergeCells>
  <conditionalFormatting sqref="A44:A46">
    <cfRule type="containsText" dxfId="5" priority="6" operator="containsText" text="add">
      <formula>NOT(ISERROR(SEARCH("add",A44)))</formula>
    </cfRule>
  </conditionalFormatting>
  <conditionalFormatting sqref="F50">
    <cfRule type="containsText" dxfId="4" priority="5" operator="containsText" text="py">
      <formula>NOT(ISERROR(SEARCH("py",F50)))</formula>
    </cfRule>
  </conditionalFormatting>
  <conditionalFormatting sqref="N25">
    <cfRule type="containsText" dxfId="3" priority="4" operator="containsText" text="zero">
      <formula>NOT(ISERROR(SEARCH("zero",N25)))</formula>
    </cfRule>
  </conditionalFormatting>
  <conditionalFormatting sqref="X36">
    <cfRule type="containsText" dxfId="2" priority="3" operator="containsText" text="zero">
      <formula>NOT(ISERROR(SEARCH("zero",X36)))</formula>
    </cfRule>
  </conditionalFormatting>
  <conditionalFormatting sqref="X26">
    <cfRule type="containsText" dxfId="1" priority="2" operator="containsText" text="zero">
      <formula>NOT(ISERROR(SEARCH("zero",X26)))</formula>
    </cfRule>
  </conditionalFormatting>
  <conditionalFormatting sqref="A54">
    <cfRule type="containsText" dxfId="0" priority="1" operator="containsText" text="commons">
      <formula>NOT(ISERROR(SEARCH("commons",A54)))</formula>
    </cfRule>
  </conditionalFormatting>
  <hyperlinks>
    <hyperlink ref="L61" r:id="rId1"/>
  </hyperlinks>
  <pageMargins left="0.5" right="0.5" top="0.75" bottom="0.75" header="0.3" footer="0.3"/>
  <pageSetup scale="66"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B1:AA50"/>
  <sheetViews>
    <sheetView showGridLines="0" zoomScale="80" zoomScaleNormal="80" workbookViewId="0">
      <selection activeCell="E26" sqref="E26"/>
    </sheetView>
  </sheetViews>
  <sheetFormatPr defaultColWidth="8.83203125" defaultRowHeight="15.6" outlineLevelRow="1"/>
  <cols>
    <col min="1" max="1" width="3.1640625" style="40" customWidth="1"/>
    <col min="2" max="2" width="52.08203125" style="40" customWidth="1"/>
    <col min="3" max="3" width="16" style="40" customWidth="1"/>
    <col min="4" max="16384" width="8.83203125" style="40"/>
  </cols>
  <sheetData>
    <row r="1" spans="2:27" ht="3.75" customHeight="1"/>
    <row r="2" spans="2:27" ht="16.5" customHeight="1">
      <c r="B2" s="359" t="s">
        <v>568</v>
      </c>
      <c r="C2" s="359"/>
      <c r="D2" s="358"/>
      <c r="E2" s="358"/>
      <c r="F2" s="358"/>
      <c r="G2" s="358"/>
      <c r="H2" s="358"/>
      <c r="I2" s="1400" t="s">
        <v>580</v>
      </c>
      <c r="J2" s="1400"/>
      <c r="K2" s="1400"/>
      <c r="L2" s="1400"/>
      <c r="M2" s="1400"/>
      <c r="N2" s="1121"/>
      <c r="O2" s="358"/>
      <c r="P2" s="358"/>
      <c r="Q2" s="358"/>
      <c r="R2" s="358"/>
      <c r="S2" s="358"/>
      <c r="T2" s="358"/>
      <c r="U2" s="358"/>
      <c r="V2" s="358"/>
      <c r="W2" s="358"/>
      <c r="X2" s="358"/>
      <c r="Y2" s="358"/>
      <c r="Z2" s="358"/>
      <c r="AA2" s="358"/>
    </row>
    <row r="3" spans="2:27" ht="16.5" customHeight="1">
      <c r="B3" s="1114"/>
      <c r="C3" s="1114"/>
      <c r="D3" s="358"/>
      <c r="E3" s="358"/>
      <c r="F3" s="358"/>
      <c r="G3" s="358"/>
      <c r="H3" s="358"/>
      <c r="I3" s="1400"/>
      <c r="J3" s="1400"/>
      <c r="K3" s="1400"/>
      <c r="L3" s="1400"/>
      <c r="M3" s="1400"/>
      <c r="N3" s="1121"/>
      <c r="O3" s="358"/>
      <c r="P3" s="358"/>
      <c r="Q3" s="358"/>
      <c r="R3" s="358"/>
      <c r="S3" s="358"/>
      <c r="T3" s="358"/>
      <c r="U3" s="358"/>
      <c r="V3" s="358"/>
      <c r="W3" s="358"/>
      <c r="X3" s="358"/>
      <c r="Y3" s="358"/>
      <c r="Z3" s="358"/>
      <c r="AA3" s="358"/>
    </row>
    <row r="4" spans="2:27" ht="18" hidden="1" outlineLevel="1">
      <c r="B4" s="1403" t="str">
        <f>"Attached is the "&amp;IF(Input!E48="a","annual ",IF(Input!E48="f","final ",IF(Input!E48="r"," revised ")))&amp;"report that we submitted to the grantor."</f>
        <v>Attached is the annual report that we submitted to the grantor.</v>
      </c>
      <c r="C4" s="1403"/>
      <c r="D4" s="1119" t="s">
        <v>578</v>
      </c>
      <c r="E4" s="358"/>
      <c r="F4" s="358"/>
      <c r="G4" s="358"/>
      <c r="H4" s="358"/>
      <c r="I4" s="1400"/>
      <c r="J4" s="1400"/>
      <c r="K4" s="1400"/>
      <c r="L4" s="1400"/>
      <c r="M4" s="1400"/>
      <c r="N4" s="1121"/>
      <c r="O4" s="358"/>
      <c r="P4" s="358"/>
      <c r="Q4" s="358"/>
      <c r="R4" s="358"/>
      <c r="S4" s="358"/>
      <c r="T4" s="358"/>
      <c r="U4" s="358"/>
      <c r="V4" s="358"/>
      <c r="W4" s="358"/>
      <c r="X4" s="358"/>
      <c r="Y4" s="358"/>
      <c r="Z4" s="358"/>
      <c r="AA4" s="358"/>
    </row>
    <row r="5" spans="2:27" ht="31.5" customHeight="1" collapsed="1">
      <c r="B5" s="359"/>
      <c r="C5" s="359"/>
      <c r="D5" s="1129" t="s">
        <v>601</v>
      </c>
      <c r="E5" s="358"/>
      <c r="F5" s="358"/>
      <c r="G5" s="358"/>
      <c r="H5" s="358"/>
      <c r="I5" s="1400"/>
      <c r="J5" s="1400"/>
      <c r="K5" s="1400"/>
      <c r="L5" s="1400"/>
      <c r="M5" s="1400"/>
      <c r="N5" s="1121"/>
      <c r="O5" s="358"/>
      <c r="P5" s="358"/>
      <c r="Q5" s="358"/>
      <c r="R5" s="358"/>
      <c r="S5" s="358"/>
      <c r="T5" s="358"/>
      <c r="U5" s="358"/>
      <c r="V5" s="358"/>
      <c r="W5" s="358"/>
      <c r="X5" s="358"/>
      <c r="Y5" s="358"/>
      <c r="Z5" s="358"/>
      <c r="AA5" s="358"/>
    </row>
    <row r="6" spans="2:27" ht="33" customHeight="1" outlineLevel="1">
      <c r="B6" s="1404" t="str">
        <f>"The "&amp;IF(Input!E48="a","annual ",IF(Input!E48="f","final ",IF(Input!E48="r"," revised "))) &amp;"report, which we submitted to the grantor, " &amp; "is now available on GrantTracker.  GrantTracker links to the report stored in the Electronic Document Management System (EDMS)."</f>
        <v>The annual report, which we submitted to the grantor, is now available on GrantTracker.  GrantTracker links to the report stored in the Electronic Document Management System (EDMS).</v>
      </c>
      <c r="C6" s="1404"/>
      <c r="D6" s="1120" t="s">
        <v>579</v>
      </c>
      <c r="E6" s="358"/>
      <c r="F6" s="358"/>
      <c r="G6" s="358"/>
      <c r="H6" s="358"/>
      <c r="I6" s="1400"/>
      <c r="J6" s="1400"/>
      <c r="K6" s="1400"/>
      <c r="L6" s="1400"/>
      <c r="M6" s="1400"/>
      <c r="N6" s="1121"/>
      <c r="O6" s="358"/>
      <c r="P6" s="358"/>
      <c r="Q6" s="358"/>
      <c r="R6" s="358"/>
      <c r="S6" s="358"/>
      <c r="T6" s="358"/>
      <c r="U6" s="358"/>
      <c r="V6" s="358"/>
      <c r="W6" s="358"/>
      <c r="X6" s="358"/>
      <c r="Y6" s="358"/>
      <c r="Z6" s="358"/>
      <c r="AA6" s="358"/>
    </row>
    <row r="7" spans="2:27">
      <c r="B7" s="359" t="s">
        <v>11</v>
      </c>
      <c r="C7" s="359"/>
      <c r="D7" s="358"/>
      <c r="E7" s="358"/>
      <c r="F7" s="358"/>
      <c r="G7" s="358"/>
      <c r="H7" s="358"/>
      <c r="I7" s="358"/>
      <c r="J7" s="358"/>
      <c r="K7" s="358"/>
      <c r="L7" s="358"/>
      <c r="M7" s="358"/>
      <c r="N7" s="358"/>
      <c r="O7" s="358"/>
      <c r="P7" s="358"/>
      <c r="Q7" s="358"/>
      <c r="R7" s="358"/>
      <c r="S7" s="358"/>
      <c r="T7" s="358"/>
      <c r="U7" s="358"/>
      <c r="V7" s="358"/>
      <c r="W7" s="358"/>
      <c r="X7" s="358"/>
      <c r="Y7" s="358"/>
      <c r="Z7" s="358"/>
      <c r="AA7" s="358"/>
    </row>
    <row r="8" spans="2:27" ht="12.75" customHeight="1">
      <c r="B8" s="1405" t="str">
        <f>IF(Reconciliation!E42&lt;&gt;0,"We included a list of outstanding obligations that are now current budget " &amp; "("&amp;Input!D17&amp;") period obligations.  Funds amounting to "&amp;DOLLAR(Input!C251,2)&amp;" from the reported budget period will be available to cover the transferred obligations."," ")</f>
        <v xml:space="preserve"> </v>
      </c>
      <c r="C8" s="1405"/>
      <c r="D8" s="1110" t="str">
        <f>IF(Reconciliation!E42&lt;&gt;0,"EXPAND!!!"," ")</f>
        <v xml:space="preserve"> </v>
      </c>
      <c r="E8" s="358"/>
      <c r="F8" s="358"/>
      <c r="G8" s="358"/>
      <c r="H8" s="358"/>
      <c r="I8" s="358"/>
      <c r="J8" s="358"/>
      <c r="K8" s="358"/>
      <c r="L8" s="358"/>
      <c r="M8" s="358"/>
      <c r="N8" s="358"/>
      <c r="O8" s="358"/>
      <c r="P8" s="358"/>
      <c r="Q8" s="358"/>
      <c r="R8" s="358"/>
      <c r="S8" s="358"/>
      <c r="T8" s="358"/>
      <c r="U8" s="358"/>
      <c r="V8" s="358"/>
      <c r="W8" s="358"/>
      <c r="X8" s="358"/>
      <c r="Y8" s="358"/>
      <c r="Z8" s="358"/>
      <c r="AA8" s="358"/>
    </row>
    <row r="9" spans="2:27">
      <c r="B9" s="1102" t="s">
        <v>564</v>
      </c>
      <c r="C9" s="1102"/>
      <c r="E9" s="358"/>
      <c r="F9" s="358"/>
      <c r="G9" s="358"/>
      <c r="H9" s="358"/>
      <c r="I9" s="358"/>
      <c r="J9" s="358"/>
      <c r="K9" s="358"/>
      <c r="L9" s="358"/>
      <c r="M9" s="358"/>
      <c r="N9" s="358"/>
      <c r="O9" s="358"/>
      <c r="P9" s="358"/>
      <c r="Q9" s="358"/>
      <c r="R9" s="358"/>
      <c r="S9" s="358"/>
      <c r="T9" s="358"/>
      <c r="U9" s="358"/>
      <c r="V9" s="358"/>
      <c r="W9" s="358"/>
      <c r="X9" s="358"/>
      <c r="Y9" s="358"/>
      <c r="Z9" s="358"/>
      <c r="AA9" s="358"/>
    </row>
    <row r="10" spans="2:27">
      <c r="B10" s="1102"/>
      <c r="C10" s="1102"/>
      <c r="E10" s="358"/>
      <c r="F10" s="358"/>
      <c r="G10" s="358"/>
      <c r="H10" s="358"/>
      <c r="I10" s="358"/>
      <c r="J10" s="358"/>
      <c r="K10" s="358"/>
      <c r="L10" s="358"/>
      <c r="M10" s="358"/>
      <c r="N10" s="358"/>
      <c r="O10" s="358"/>
      <c r="P10" s="358"/>
      <c r="Q10" s="358"/>
      <c r="R10" s="358"/>
      <c r="S10" s="358"/>
      <c r="T10" s="358"/>
      <c r="U10" s="358"/>
      <c r="V10" s="358"/>
      <c r="W10" s="358"/>
      <c r="X10" s="358"/>
      <c r="Y10" s="358"/>
      <c r="Z10" s="358"/>
      <c r="AA10" s="358"/>
    </row>
    <row r="11" spans="2:27">
      <c r="B11" s="1106" t="str">
        <f>"Total amount awarded                "</f>
        <v xml:space="preserve">Total amount awarded                </v>
      </c>
      <c r="C11" s="1102" t="str">
        <f>DOLLAR(Reconciliation!E28-Reconciliation!E27,2)</f>
        <v>$109,867.00</v>
      </c>
      <c r="E11" s="358"/>
      <c r="F11" s="358"/>
      <c r="G11" s="358"/>
      <c r="H11" s="358"/>
      <c r="I11" s="358"/>
      <c r="J11" s="358"/>
      <c r="K11" s="358"/>
      <c r="L11" s="358"/>
      <c r="M11" s="358"/>
      <c r="N11" s="358"/>
      <c r="O11" s="358"/>
      <c r="P11" s="358"/>
      <c r="Q11" s="358"/>
      <c r="R11" s="358"/>
      <c r="S11" s="358"/>
      <c r="T11" s="358"/>
      <c r="U11" s="358"/>
      <c r="V11" s="358"/>
      <c r="W11" s="358"/>
      <c r="X11" s="358"/>
      <c r="Y11" s="358"/>
      <c r="Z11" s="358"/>
      <c r="AA11" s="358"/>
    </row>
    <row r="12" spans="2:27">
      <c r="B12" s="1106" t="str">
        <f>"Total expenditures                       "</f>
        <v xml:space="preserve">Total expenditures                       </v>
      </c>
      <c r="C12" s="1102" t="str">
        <f>DOLLAR(Reconciliation!E39,2)</f>
        <v>($83,055.72)</v>
      </c>
      <c r="E12" s="358"/>
      <c r="F12" s="358"/>
      <c r="G12" s="358"/>
      <c r="H12" s="358"/>
      <c r="I12" s="358"/>
      <c r="J12" s="358"/>
      <c r="K12" s="358"/>
      <c r="L12" s="358"/>
      <c r="M12" s="358"/>
      <c r="N12" s="358"/>
      <c r="O12" s="358"/>
      <c r="P12" s="358"/>
      <c r="Q12" s="358"/>
      <c r="R12" s="358"/>
      <c r="S12" s="358"/>
      <c r="T12" s="358"/>
      <c r="U12" s="358"/>
      <c r="V12" s="358"/>
      <c r="W12" s="358"/>
      <c r="X12" s="358"/>
      <c r="Y12" s="358"/>
      <c r="Z12" s="358"/>
      <c r="AA12" s="358"/>
    </row>
    <row r="13" spans="2:27">
      <c r="B13" s="1106" t="str">
        <f>"Unexpended Balance                   "</f>
        <v xml:space="preserve">Unexpended Balance                   </v>
      </c>
      <c r="C13" s="1102" t="str">
        <f>DOLLAR((Reconciliation!E28-Reconciliation!E27)+Reconciliation!E39,2)</f>
        <v>$26,811.28</v>
      </c>
      <c r="E13" s="358"/>
      <c r="F13" s="358"/>
      <c r="G13" s="358"/>
      <c r="H13" s="358"/>
      <c r="I13" s="358"/>
      <c r="J13" s="358"/>
      <c r="K13" s="358"/>
      <c r="L13" s="358"/>
      <c r="M13" s="358"/>
      <c r="N13" s="358"/>
      <c r="O13" s="358"/>
      <c r="P13" s="358"/>
      <c r="Q13" s="358"/>
      <c r="R13" s="358"/>
      <c r="S13" s="358"/>
      <c r="T13" s="358"/>
      <c r="U13" s="358"/>
      <c r="V13" s="358"/>
      <c r="W13" s="358"/>
      <c r="X13" s="358"/>
      <c r="Y13" s="358"/>
      <c r="Z13" s="358"/>
      <c r="AA13" s="358"/>
    </row>
    <row r="14" spans="2:27">
      <c r="B14" s="1102"/>
      <c r="C14" s="1102"/>
      <c r="E14" s="358"/>
      <c r="F14" s="358"/>
      <c r="G14" s="358"/>
      <c r="H14" s="358"/>
      <c r="I14" s="358"/>
      <c r="J14" s="358"/>
      <c r="K14" s="358"/>
      <c r="L14" s="358"/>
      <c r="M14" s="358"/>
      <c r="N14" s="358"/>
      <c r="O14" s="358"/>
      <c r="P14" s="358"/>
      <c r="Q14" s="358"/>
      <c r="R14" s="358"/>
      <c r="S14" s="358"/>
      <c r="T14" s="358"/>
      <c r="U14" s="358"/>
      <c r="V14" s="358"/>
      <c r="W14" s="358"/>
      <c r="X14" s="358"/>
      <c r="Y14" s="358"/>
      <c r="Z14" s="358"/>
      <c r="AA14" s="358"/>
    </row>
    <row r="15" spans="2:27">
      <c r="B15" s="1102" t="s">
        <v>565</v>
      </c>
      <c r="C15" s="1102"/>
      <c r="E15" s="358"/>
      <c r="F15" s="358"/>
      <c r="G15" s="358"/>
      <c r="H15" s="358"/>
      <c r="I15" s="358"/>
      <c r="J15" s="358"/>
      <c r="K15" s="358"/>
      <c r="L15" s="358"/>
      <c r="M15" s="358"/>
      <c r="N15" s="358"/>
      <c r="O15" s="358"/>
      <c r="P15" s="358"/>
      <c r="Q15" s="358"/>
      <c r="R15" s="358"/>
      <c r="S15" s="358"/>
      <c r="T15" s="358"/>
      <c r="U15" s="358"/>
      <c r="V15" s="358"/>
      <c r="W15" s="358"/>
      <c r="X15" s="358"/>
      <c r="Y15" s="358"/>
      <c r="Z15" s="358"/>
      <c r="AA15" s="358"/>
    </row>
    <row r="16" spans="2:27">
      <c r="B16" s="1102"/>
      <c r="C16" s="1102"/>
      <c r="E16" s="358"/>
      <c r="F16" s="358"/>
      <c r="G16" s="358"/>
      <c r="H16" s="358"/>
      <c r="I16" s="358"/>
      <c r="J16" s="358"/>
      <c r="K16" s="358"/>
      <c r="L16" s="358"/>
      <c r="M16" s="358"/>
      <c r="N16" s="358"/>
      <c r="O16" s="358"/>
      <c r="P16" s="358"/>
      <c r="Q16" s="358"/>
      <c r="R16" s="358"/>
      <c r="S16" s="358"/>
      <c r="T16" s="358"/>
      <c r="U16" s="358"/>
      <c r="V16" s="358"/>
      <c r="W16" s="358"/>
      <c r="X16" s="358"/>
      <c r="Y16" s="358"/>
      <c r="Z16" s="358"/>
      <c r="AA16" s="358"/>
    </row>
    <row r="17" spans="2:27">
      <c r="B17" s="1107" t="str">
        <f>IF((Reconciliation!E43-Reconciliation!E27-Input!E50-Input!E51)&lt;&gt;0,"Unrestricted Funds      "," ")</f>
        <v xml:space="preserve">Unrestricted Funds      </v>
      </c>
      <c r="C17" s="1103" t="str">
        <f>IF((Reconciliation!E43-Reconciliation!E27-Input!E50-Input!E51)&lt;&gt;0,DOLLAR((Reconciliation!E43-Reconciliation!E27-Input!E50-Input!E51),2)," ")</f>
        <v>$26,811.28</v>
      </c>
      <c r="E17" s="358"/>
      <c r="F17" s="358"/>
      <c r="G17" s="358"/>
      <c r="H17" s="358"/>
      <c r="I17" s="358"/>
      <c r="J17" s="358"/>
      <c r="K17" s="358"/>
      <c r="L17" s="358"/>
      <c r="M17" s="358"/>
      <c r="N17" s="358"/>
      <c r="O17" s="358"/>
      <c r="P17" s="358"/>
      <c r="Q17" s="358"/>
      <c r="R17" s="358"/>
      <c r="S17" s="358"/>
      <c r="T17" s="358"/>
      <c r="U17" s="358"/>
      <c r="V17" s="358"/>
      <c r="W17" s="358"/>
      <c r="X17" s="358"/>
      <c r="Y17" s="358"/>
      <c r="Z17" s="358"/>
      <c r="AA17" s="358"/>
    </row>
    <row r="18" spans="2:27" hidden="1">
      <c r="B18" s="1108" t="str">
        <f>IF(Input!D98&lt;&gt;0,"Restricted carry-over from prior budget periods      "," ")</f>
        <v xml:space="preserve"> </v>
      </c>
      <c r="C18" s="1104" t="str">
        <f>IF(Input!D98&lt;&gt;0,DOLLAR(Input!D98,2)," ")</f>
        <v xml:space="preserve"> </v>
      </c>
      <c r="E18" s="358"/>
      <c r="F18" s="358"/>
      <c r="G18" s="358"/>
      <c r="H18" s="358"/>
      <c r="I18" s="358"/>
      <c r="J18" s="358"/>
      <c r="K18" s="358"/>
      <c r="L18" s="358"/>
      <c r="M18" s="358"/>
      <c r="N18" s="358"/>
      <c r="O18" s="358"/>
      <c r="P18" s="358"/>
      <c r="Q18" s="358"/>
      <c r="R18" s="358"/>
      <c r="S18" s="358"/>
      <c r="T18" s="358"/>
      <c r="U18" s="358"/>
      <c r="V18" s="358"/>
      <c r="W18" s="358"/>
      <c r="X18" s="358"/>
      <c r="Y18" s="358"/>
      <c r="Z18" s="358"/>
      <c r="AA18" s="358"/>
    </row>
    <row r="19" spans="2:27" hidden="1">
      <c r="B19" s="1107" t="str">
        <f>IF(Input!E50&lt;&gt;0,"Restricted Minority Supplement      "," ")</f>
        <v xml:space="preserve"> </v>
      </c>
      <c r="C19" s="1103" t="str">
        <f>IF(Input!E50&lt;&gt;0,DOLLAR(Input!E50,2)," ")</f>
        <v xml:space="preserve"> </v>
      </c>
      <c r="E19" s="358"/>
      <c r="F19" s="358"/>
      <c r="G19" s="358"/>
      <c r="H19" s="358"/>
      <c r="I19" s="358"/>
      <c r="J19" s="358"/>
      <c r="K19" s="358"/>
      <c r="L19" s="358"/>
      <c r="M19" s="358"/>
      <c r="N19" s="358"/>
      <c r="O19" s="358"/>
      <c r="P19" s="358"/>
      <c r="Q19" s="358"/>
      <c r="R19" s="358"/>
      <c r="S19" s="358"/>
      <c r="T19" s="358"/>
      <c r="U19" s="358"/>
      <c r="V19" s="358"/>
      <c r="W19" s="358"/>
      <c r="X19" s="358"/>
      <c r="Y19" s="358"/>
      <c r="Z19" s="358"/>
      <c r="AA19" s="358"/>
    </row>
    <row r="20" spans="2:27" hidden="1">
      <c r="B20" s="1106" t="str">
        <f>IF(Input!E51&lt;&gt;0,"Unexpended Patient Care      ", " ")</f>
        <v xml:space="preserve"> </v>
      </c>
      <c r="C20" s="1102" t="str">
        <f>IF(Input!E51&lt;&gt;0,DOLLAR(Input!E51,2)," ")</f>
        <v xml:space="preserve"> </v>
      </c>
      <c r="E20" s="358"/>
      <c r="F20" s="358"/>
      <c r="G20" s="358"/>
      <c r="H20" s="358"/>
      <c r="I20" s="358"/>
      <c r="J20" s="358"/>
      <c r="K20" s="358"/>
      <c r="L20" s="358"/>
      <c r="M20" s="358"/>
      <c r="N20" s="358"/>
      <c r="O20" s="358"/>
      <c r="P20" s="358"/>
      <c r="Q20" s="358"/>
      <c r="R20" s="358"/>
      <c r="S20" s="358"/>
      <c r="T20" s="358"/>
      <c r="U20" s="358"/>
      <c r="V20" s="358"/>
      <c r="W20" s="358"/>
      <c r="X20" s="358"/>
      <c r="Y20" s="358"/>
      <c r="Z20" s="358"/>
      <c r="AA20" s="358"/>
    </row>
    <row r="21" spans="2:27">
      <c r="B21" s="1106" t="str">
        <f>IF(Reconciliation!E43&lt;&gt;0,"Total Unexpended Balance      "," ")</f>
        <v xml:space="preserve">Total Unexpended Balance      </v>
      </c>
      <c r="C21" s="1102" t="str">
        <f>IF(Reconciliation!E43&lt;&gt;0,DOLLAR(Reconciliation!E43,2)," ")</f>
        <v>$26,811.28</v>
      </c>
      <c r="E21" s="358"/>
      <c r="F21" s="358"/>
      <c r="G21" s="358"/>
      <c r="H21" s="358"/>
      <c r="I21" s="358"/>
      <c r="J21" s="358"/>
      <c r="K21" s="358"/>
      <c r="L21" s="358"/>
      <c r="M21" s="358"/>
      <c r="N21" s="358"/>
      <c r="O21" s="358"/>
      <c r="P21" s="358"/>
      <c r="Q21" s="358"/>
      <c r="R21" s="358"/>
      <c r="S21" s="358"/>
      <c r="T21" s="358"/>
      <c r="U21" s="358"/>
      <c r="V21" s="358"/>
      <c r="W21" s="358"/>
      <c r="X21" s="358"/>
      <c r="Y21" s="358"/>
      <c r="Z21" s="358"/>
      <c r="AA21" s="358"/>
    </row>
    <row r="22" spans="2:27">
      <c r="B22" s="1102"/>
      <c r="C22" s="1102"/>
      <c r="E22" s="358"/>
      <c r="F22" s="358"/>
      <c r="G22" s="358"/>
      <c r="H22" s="358"/>
      <c r="I22" s="358"/>
      <c r="J22" s="358"/>
      <c r="K22" s="358"/>
      <c r="L22" s="358"/>
      <c r="M22" s="358"/>
      <c r="N22" s="358"/>
      <c r="O22" s="358"/>
      <c r="P22" s="358"/>
      <c r="Q22" s="358"/>
      <c r="R22" s="358"/>
      <c r="S22" s="358"/>
      <c r="T22" s="358"/>
      <c r="U22" s="358"/>
      <c r="V22" s="358"/>
      <c r="W22" s="358"/>
      <c r="X22" s="358"/>
      <c r="Y22" s="358"/>
      <c r="Z22" s="358"/>
      <c r="AA22" s="358"/>
    </row>
    <row r="23" spans="2:27">
      <c r="B23" s="1102" t="s">
        <v>566</v>
      </c>
      <c r="C23" s="1102"/>
      <c r="E23" s="358"/>
      <c r="F23" s="358"/>
      <c r="G23" s="358"/>
      <c r="H23" s="358"/>
      <c r="I23" s="358"/>
      <c r="J23" s="358"/>
      <c r="K23" s="358"/>
      <c r="L23" s="358"/>
      <c r="M23" s="358"/>
      <c r="N23" s="358"/>
      <c r="O23" s="358"/>
      <c r="P23" s="358"/>
      <c r="Q23" s="358"/>
      <c r="R23" s="358"/>
      <c r="S23" s="358"/>
      <c r="T23" s="358"/>
      <c r="U23" s="358"/>
      <c r="V23" s="358"/>
      <c r="W23" s="358"/>
      <c r="X23" s="358"/>
      <c r="Y23" s="358"/>
      <c r="Z23" s="358"/>
      <c r="AA23" s="358"/>
    </row>
    <row r="24" spans="2:27">
      <c r="B24" s="1102"/>
      <c r="C24" s="1102"/>
      <c r="E24" s="358"/>
      <c r="F24" s="358"/>
      <c r="G24" s="358"/>
      <c r="H24" s="358"/>
      <c r="I24" s="358"/>
      <c r="J24" s="358"/>
      <c r="K24" s="358"/>
      <c r="L24" s="358"/>
      <c r="M24" s="358"/>
      <c r="N24" s="358"/>
      <c r="O24" s="358"/>
      <c r="P24" s="358"/>
      <c r="Q24" s="358"/>
      <c r="R24" s="358"/>
      <c r="S24" s="358"/>
      <c r="T24" s="358"/>
      <c r="U24" s="358"/>
      <c r="V24" s="358"/>
      <c r="W24" s="358"/>
      <c r="X24" s="358"/>
      <c r="Y24" s="358"/>
      <c r="Z24" s="358"/>
      <c r="AA24" s="358"/>
    </row>
    <row r="25" spans="2:27">
      <c r="B25" s="1106" t="str">
        <f>IF(Reconciliation!E50&lt;&gt;0,"Forwarded to current budget ("&amp;Input!D17&amp;") as additional funding      "," ")</f>
        <v xml:space="preserve">Forwarded to current budget (61-1620) as additional funding      </v>
      </c>
      <c r="C25" s="1102" t="str">
        <f>IF(Reconciliation!E50&lt;&gt;0,(DOLLAR(Reconciliation!E50,2))," ")</f>
        <v>$26,811.28</v>
      </c>
      <c r="E25" s="358"/>
      <c r="F25" s="358"/>
      <c r="G25" s="358"/>
      <c r="H25" s="358"/>
      <c r="I25" s="358"/>
      <c r="J25" s="358"/>
      <c r="K25" s="358"/>
      <c r="L25" s="358"/>
      <c r="M25" s="358"/>
      <c r="N25" s="358"/>
      <c r="O25" s="358"/>
      <c r="P25" s="358"/>
      <c r="Q25" s="358"/>
      <c r="R25" s="358"/>
      <c r="S25" s="358"/>
      <c r="T25" s="358"/>
      <c r="U25" s="358"/>
      <c r="V25" s="358"/>
      <c r="W25" s="358"/>
      <c r="X25" s="358"/>
      <c r="Y25" s="358"/>
      <c r="Z25" s="358"/>
      <c r="AA25" s="358"/>
    </row>
    <row r="26" spans="2:27">
      <c r="B26" s="1109"/>
      <c r="C26" s="1105"/>
      <c r="E26" s="358"/>
      <c r="F26" s="358"/>
      <c r="G26" s="358"/>
      <c r="H26" s="358"/>
      <c r="I26" s="358"/>
      <c r="J26" s="358"/>
      <c r="K26" s="358"/>
      <c r="L26" s="358"/>
      <c r="M26" s="358"/>
      <c r="N26" s="358"/>
      <c r="O26" s="358"/>
      <c r="P26" s="358"/>
      <c r="Q26" s="358"/>
      <c r="R26" s="358"/>
      <c r="S26" s="358"/>
      <c r="T26" s="358"/>
      <c r="U26" s="358"/>
      <c r="V26" s="358"/>
      <c r="W26" s="358"/>
      <c r="X26" s="358"/>
      <c r="Y26" s="358"/>
      <c r="Z26" s="358"/>
      <c r="AA26" s="358"/>
    </row>
    <row r="27" spans="2:27" ht="48.75" hidden="1" customHeight="1">
      <c r="B27" s="1111" t="str">
        <f>IF(Reconciliation!E52&lt;&gt;0,"Carried forward to current budget  ("&amp;Input!D17&amp;") as restricted funds which may not be used without prior grantor approval."," ")</f>
        <v xml:space="preserve"> </v>
      </c>
      <c r="C27" s="1102" t="str">
        <f>IF(Reconciliation!E52&lt;&gt;0,(DOLLAR(Reconciliation!E52,2))," ")</f>
        <v xml:space="preserve"> </v>
      </c>
      <c r="E27" s="358"/>
      <c r="F27" s="358"/>
      <c r="G27" s="358"/>
      <c r="H27" s="358"/>
      <c r="I27" s="358"/>
      <c r="J27" s="358"/>
      <c r="K27" s="358"/>
      <c r="L27" s="358"/>
      <c r="M27" s="358"/>
      <c r="N27" s="358"/>
      <c r="O27" s="358"/>
      <c r="P27" s="358"/>
      <c r="Q27" s="358"/>
      <c r="R27" s="358"/>
      <c r="S27" s="358"/>
      <c r="T27" s="358"/>
      <c r="U27" s="358"/>
      <c r="V27" s="358"/>
      <c r="W27" s="358"/>
      <c r="X27" s="358"/>
      <c r="Y27" s="358"/>
      <c r="Z27" s="358"/>
      <c r="AA27" s="358"/>
    </row>
    <row r="28" spans="2:27" hidden="1">
      <c r="B28" s="1106"/>
      <c r="C28" s="1102"/>
      <c r="E28" s="358"/>
      <c r="F28" s="358"/>
      <c r="G28" s="358"/>
      <c r="H28" s="358"/>
      <c r="I28" s="358"/>
      <c r="J28" s="358"/>
      <c r="K28" s="358"/>
      <c r="L28" s="358"/>
      <c r="M28" s="358"/>
      <c r="N28" s="358"/>
      <c r="O28" s="358"/>
      <c r="P28" s="358"/>
      <c r="Q28" s="358"/>
      <c r="R28" s="358"/>
      <c r="S28" s="358"/>
      <c r="T28" s="358"/>
      <c r="U28" s="358"/>
      <c r="V28" s="358"/>
      <c r="W28" s="358"/>
      <c r="X28" s="358"/>
      <c r="Y28" s="358"/>
      <c r="Z28" s="358"/>
      <c r="AA28" s="358"/>
    </row>
    <row r="29" spans="2:27" hidden="1">
      <c r="B29" s="1106" t="str">
        <f>IF(ISNUMBER(Input!D72),"Used to partially fund the current budget ("&amp;Input!D17&amp;")      "," ")</f>
        <v xml:space="preserve"> </v>
      </c>
      <c r="C29" s="1102" t="str">
        <f>IF(ISNUMBER(Input!D72),(DOLLAR(Input!D72,2))," ")</f>
        <v xml:space="preserve"> </v>
      </c>
      <c r="E29" s="358"/>
      <c r="F29" s="358"/>
      <c r="G29" s="358"/>
      <c r="H29" s="358"/>
      <c r="I29" s="358"/>
      <c r="J29" s="358"/>
      <c r="K29" s="358"/>
      <c r="L29" s="358"/>
      <c r="M29" s="358"/>
      <c r="N29" s="358"/>
      <c r="O29" s="358"/>
      <c r="P29" s="358"/>
      <c r="Q29" s="358"/>
      <c r="R29" s="358"/>
      <c r="S29" s="358"/>
      <c r="T29" s="358"/>
      <c r="U29" s="358"/>
      <c r="V29" s="358"/>
      <c r="W29" s="358"/>
      <c r="X29" s="358"/>
      <c r="Y29" s="358"/>
      <c r="Z29" s="358"/>
      <c r="AA29" s="358"/>
    </row>
    <row r="30" spans="2:27" ht="11.25" hidden="1" customHeight="1">
      <c r="B30" s="359"/>
      <c r="C30" s="359"/>
      <c r="E30" s="358"/>
      <c r="F30" s="358"/>
      <c r="G30" s="358"/>
      <c r="H30" s="358"/>
      <c r="I30" s="358"/>
      <c r="J30" s="358"/>
      <c r="K30" s="358"/>
      <c r="L30" s="358"/>
      <c r="M30" s="358"/>
      <c r="N30" s="358"/>
      <c r="O30" s="358"/>
      <c r="P30" s="358"/>
      <c r="Q30" s="358"/>
      <c r="R30" s="358"/>
      <c r="S30" s="358"/>
      <c r="T30" s="358"/>
      <c r="U30" s="358"/>
      <c r="V30" s="358"/>
      <c r="W30" s="358"/>
      <c r="X30" s="358"/>
      <c r="Y30" s="358"/>
      <c r="Z30" s="358"/>
      <c r="AA30" s="358"/>
    </row>
    <row r="31" spans="2:27" ht="21.75" hidden="1" customHeight="1">
      <c r="B31" s="1404" t="str">
        <f>IF(Reconciliation!O22&gt;0,"The unexpended balance has been returned to the grantor."," ")</f>
        <v>The unexpended balance has been returned to the grantor.</v>
      </c>
      <c r="C31" s="1404"/>
      <c r="D31" s="1101" t="str">
        <f>IF(Reconciliation!O22&gt;0,"KEEP if this is the last year of the project and there's a balance."," ")</f>
        <v>KEEP if this is the last year of the project and there's a balance.</v>
      </c>
      <c r="F31" s="358"/>
      <c r="G31" s="358"/>
      <c r="H31" s="358"/>
      <c r="I31" s="358"/>
      <c r="J31" s="358"/>
      <c r="K31" s="358"/>
      <c r="L31" s="358"/>
      <c r="M31" s="358"/>
      <c r="N31" s="358"/>
      <c r="O31" s="358"/>
      <c r="P31" s="358"/>
      <c r="Q31" s="358"/>
      <c r="R31" s="358"/>
      <c r="S31" s="358"/>
      <c r="T31" s="358"/>
      <c r="U31" s="358"/>
      <c r="V31" s="358"/>
      <c r="W31" s="358"/>
      <c r="X31" s="358"/>
      <c r="Y31" s="358"/>
      <c r="Z31" s="358"/>
      <c r="AA31" s="358"/>
    </row>
    <row r="32" spans="2:27" hidden="1">
      <c r="B32" s="359"/>
      <c r="C32" s="359"/>
      <c r="D32" s="358"/>
      <c r="F32" s="358"/>
      <c r="G32" s="358"/>
      <c r="H32" s="358"/>
      <c r="I32" s="358"/>
      <c r="J32" s="358"/>
      <c r="K32" s="358"/>
      <c r="L32" s="358"/>
      <c r="M32" s="358"/>
      <c r="N32" s="358"/>
      <c r="O32" s="358"/>
      <c r="P32" s="358"/>
      <c r="Q32" s="358"/>
      <c r="R32" s="358"/>
      <c r="S32" s="358"/>
      <c r="T32" s="358"/>
      <c r="U32" s="358"/>
      <c r="V32" s="358"/>
      <c r="W32" s="358"/>
      <c r="X32" s="358"/>
      <c r="Y32" s="358"/>
      <c r="Z32" s="358"/>
      <c r="AA32" s="358"/>
    </row>
    <row r="33" spans="2:27" ht="50.25" hidden="1" customHeight="1">
      <c r="B33" s="1406" t="str">
        <f>IF(Reconciliation!E54&lt;&gt;0,"Although not reported to the sponsor, the period was overspent by "&amp;DOLLAR(Reconciliation!E54,2)&amp;", which will be charged to the current period."," ")</f>
        <v xml:space="preserve"> </v>
      </c>
      <c r="C33" s="1406"/>
      <c r="D33" s="1101" t="str">
        <f>IF(Reconciliation!E54&lt;&gt;0,"KEEP if this is a G to P transitional FFR or the first year of the project or the next year is within the same segment."," ")</f>
        <v xml:space="preserve"> </v>
      </c>
      <c r="F33" s="358"/>
      <c r="G33" s="358"/>
      <c r="H33" s="358"/>
      <c r="I33" s="358"/>
      <c r="J33" s="358"/>
      <c r="K33" s="358"/>
      <c r="L33" s="358"/>
      <c r="M33" s="358"/>
      <c r="N33" s="358"/>
      <c r="O33" s="358"/>
      <c r="P33" s="358"/>
      <c r="Q33" s="358"/>
      <c r="R33" s="358"/>
      <c r="S33" s="358"/>
      <c r="T33" s="358"/>
      <c r="U33" s="358"/>
      <c r="V33" s="358"/>
      <c r="W33" s="358"/>
      <c r="X33" s="358"/>
      <c r="Y33" s="358"/>
      <c r="Z33" s="358"/>
      <c r="AA33" s="358"/>
    </row>
    <row r="34" spans="2:27" ht="6" hidden="1" customHeight="1">
      <c r="B34" s="360"/>
      <c r="C34" s="360"/>
      <c r="D34" s="358"/>
      <c r="F34" s="358"/>
      <c r="G34" s="358"/>
      <c r="H34" s="358"/>
      <c r="I34" s="358"/>
      <c r="J34" s="358"/>
      <c r="K34" s="358"/>
      <c r="L34" s="358"/>
      <c r="M34" s="358"/>
      <c r="N34" s="358"/>
      <c r="O34" s="358"/>
      <c r="P34" s="358"/>
      <c r="Q34" s="358"/>
      <c r="R34" s="358"/>
      <c r="S34" s="358"/>
      <c r="T34" s="358"/>
      <c r="U34" s="358"/>
      <c r="V34" s="358"/>
      <c r="W34" s="358"/>
      <c r="X34" s="358"/>
      <c r="Y34" s="358"/>
      <c r="Z34" s="358"/>
      <c r="AA34" s="358"/>
    </row>
    <row r="35" spans="2:27" ht="42" hidden="1" customHeight="1">
      <c r="B35" s="1404" t="str">
        <f>IF(Reconciliation!E54&lt;&gt;0,"Although not reported to the sponsor, the budget was overspent by "&amp;DOLLAR(Reconciliation!E54,2)&amp;". Please transfer the deficit to an appropriate non-federal budget via Grant Tracker."," ")</f>
        <v xml:space="preserve"> </v>
      </c>
      <c r="C35" s="1404"/>
      <c r="D35" s="1101" t="str">
        <f>IF(Reconciliation!E54&lt;&gt;0,"KEEP if last year of project or segment."," ")</f>
        <v xml:space="preserve"> </v>
      </c>
      <c r="F35" s="358"/>
      <c r="G35" s="358"/>
      <c r="H35" s="358"/>
      <c r="I35" s="358"/>
      <c r="J35" s="358"/>
      <c r="K35" s="358"/>
      <c r="L35" s="358"/>
      <c r="M35" s="358"/>
      <c r="N35" s="358"/>
      <c r="O35" s="358"/>
      <c r="P35" s="358"/>
      <c r="Q35" s="358"/>
      <c r="R35" s="358"/>
      <c r="S35" s="358"/>
      <c r="T35" s="358"/>
      <c r="U35" s="358"/>
      <c r="V35" s="358"/>
      <c r="W35" s="358"/>
      <c r="X35" s="358"/>
      <c r="Y35" s="358"/>
      <c r="Z35" s="358"/>
      <c r="AA35" s="358"/>
    </row>
    <row r="36" spans="2:27" ht="6" customHeight="1">
      <c r="B36" s="360"/>
      <c r="C36" s="360"/>
      <c r="D36" s="358"/>
      <c r="F36" s="358"/>
      <c r="G36" s="358"/>
      <c r="H36" s="358"/>
      <c r="I36" s="358"/>
      <c r="J36" s="358"/>
      <c r="K36" s="358"/>
      <c r="L36" s="358"/>
      <c r="M36" s="358"/>
      <c r="N36" s="358"/>
      <c r="O36" s="358"/>
      <c r="P36" s="358"/>
      <c r="Q36" s="358"/>
      <c r="R36" s="358"/>
      <c r="S36" s="358"/>
      <c r="T36" s="358"/>
      <c r="U36" s="358"/>
      <c r="V36" s="358"/>
      <c r="W36" s="358"/>
      <c r="X36" s="358"/>
      <c r="Y36" s="358"/>
      <c r="Z36" s="358"/>
      <c r="AA36" s="358"/>
    </row>
    <row r="37" spans="2:27" ht="45" hidden="1" customHeight="1" outlineLevel="1">
      <c r="B37" s="1401" t="s">
        <v>603</v>
      </c>
      <c r="C37" s="1401"/>
      <c r="D37" s="1399" t="s">
        <v>577</v>
      </c>
      <c r="E37" s="1399"/>
      <c r="F37" s="1399"/>
      <c r="G37" s="1399"/>
      <c r="H37" s="1399"/>
      <c r="I37" s="1399"/>
      <c r="J37" s="358"/>
      <c r="K37" s="358"/>
      <c r="L37" s="358"/>
      <c r="M37" s="358"/>
      <c r="N37" s="358"/>
      <c r="O37" s="358"/>
      <c r="P37" s="358"/>
      <c r="Q37" s="358"/>
      <c r="R37" s="358"/>
      <c r="S37" s="358"/>
      <c r="T37" s="358"/>
      <c r="U37" s="358"/>
      <c r="V37" s="358"/>
      <c r="W37" s="358"/>
      <c r="X37" s="358"/>
      <c r="Y37" s="358"/>
      <c r="Z37" s="358"/>
      <c r="AA37" s="358"/>
    </row>
    <row r="38" spans="2:27" ht="12.75" hidden="1" customHeight="1" outlineLevel="1">
      <c r="B38" s="359"/>
      <c r="C38" s="359"/>
      <c r="D38" s="358"/>
      <c r="F38" s="358"/>
      <c r="G38" s="358"/>
      <c r="H38" s="358"/>
      <c r="I38" s="358"/>
      <c r="J38" s="358"/>
      <c r="K38" s="358"/>
      <c r="L38" s="358"/>
      <c r="M38" s="358"/>
      <c r="N38" s="358"/>
      <c r="O38" s="358"/>
      <c r="P38" s="358"/>
      <c r="Q38" s="358"/>
      <c r="R38" s="358"/>
      <c r="S38" s="358"/>
      <c r="T38" s="358"/>
      <c r="U38" s="358"/>
      <c r="V38" s="358"/>
      <c r="W38" s="358"/>
      <c r="X38" s="358"/>
      <c r="Y38" s="358"/>
      <c r="Z38" s="358"/>
      <c r="AA38" s="358"/>
    </row>
    <row r="39" spans="2:27" ht="33" customHeight="1" collapsed="1">
      <c r="B39" s="1402" t="s">
        <v>567</v>
      </c>
      <c r="C39" s="1402"/>
      <c r="D39" s="358"/>
      <c r="F39" s="358"/>
      <c r="G39" s="358"/>
      <c r="H39" s="358"/>
      <c r="I39" s="358"/>
      <c r="J39" s="358"/>
      <c r="K39" s="358"/>
      <c r="L39" s="358"/>
      <c r="M39" s="358"/>
      <c r="N39" s="358"/>
      <c r="O39" s="358"/>
      <c r="P39" s="358"/>
      <c r="Q39" s="358"/>
      <c r="R39" s="358"/>
      <c r="S39" s="358"/>
      <c r="T39" s="358"/>
      <c r="U39" s="358"/>
      <c r="V39" s="358"/>
      <c r="W39" s="358"/>
      <c r="X39" s="358"/>
      <c r="Y39" s="358"/>
      <c r="Z39" s="358"/>
      <c r="AA39" s="358"/>
    </row>
    <row r="40" spans="2:27" ht="7.5" customHeight="1">
      <c r="B40" s="359"/>
      <c r="C40" s="359"/>
      <c r="D40" s="358"/>
      <c r="E40" s="358"/>
      <c r="F40" s="358"/>
      <c r="G40" s="358"/>
      <c r="H40" s="358"/>
      <c r="I40" s="358"/>
      <c r="J40" s="358"/>
      <c r="K40" s="358"/>
      <c r="L40" s="358"/>
      <c r="M40" s="358"/>
      <c r="N40" s="358"/>
      <c r="O40" s="358"/>
      <c r="P40" s="358"/>
      <c r="Q40" s="358"/>
      <c r="R40" s="358"/>
      <c r="S40" s="358"/>
      <c r="T40" s="358"/>
      <c r="U40" s="358"/>
      <c r="V40" s="358"/>
      <c r="W40" s="358"/>
      <c r="X40" s="358"/>
      <c r="Y40" s="358"/>
      <c r="Z40" s="358"/>
      <c r="AA40" s="358"/>
    </row>
    <row r="41" spans="2:27">
      <c r="B41" s="359" t="s">
        <v>476</v>
      </c>
      <c r="C41" s="359"/>
      <c r="D41" s="358"/>
      <c r="E41" s="358"/>
      <c r="F41" s="358"/>
      <c r="G41" s="358"/>
      <c r="H41" s="358"/>
      <c r="I41" s="358"/>
      <c r="J41" s="358"/>
      <c r="K41" s="358"/>
      <c r="L41" s="358"/>
      <c r="M41" s="358"/>
      <c r="N41" s="358"/>
      <c r="O41" s="358"/>
      <c r="P41" s="358"/>
      <c r="Q41" s="358"/>
      <c r="R41" s="358"/>
      <c r="S41" s="358"/>
      <c r="T41" s="358"/>
      <c r="U41" s="358"/>
      <c r="V41" s="358"/>
      <c r="W41" s="358"/>
      <c r="X41" s="358"/>
      <c r="Y41" s="358"/>
      <c r="Z41" s="358"/>
      <c r="AA41" s="358"/>
    </row>
    <row r="42" spans="2:27">
      <c r="B42" s="359"/>
      <c r="C42" s="359"/>
      <c r="D42" s="358"/>
      <c r="E42" s="358"/>
      <c r="F42" s="358"/>
      <c r="G42" s="358"/>
      <c r="H42" s="358"/>
      <c r="I42" s="358"/>
      <c r="J42" s="358"/>
      <c r="K42" s="358"/>
      <c r="L42" s="358"/>
      <c r="M42" s="358"/>
      <c r="N42" s="358"/>
      <c r="O42" s="358"/>
      <c r="P42" s="358"/>
      <c r="Q42" s="358"/>
      <c r="R42" s="358"/>
      <c r="S42" s="358"/>
      <c r="T42" s="358"/>
      <c r="U42" s="358"/>
      <c r="V42" s="358"/>
      <c r="W42" s="358"/>
      <c r="X42" s="358"/>
      <c r="Y42" s="358"/>
      <c r="Z42" s="358"/>
      <c r="AA42" s="358"/>
    </row>
    <row r="43" spans="2:27">
      <c r="B43" s="359" t="s">
        <v>646</v>
      </c>
      <c r="C43" s="359"/>
      <c r="D43" s="358"/>
      <c r="E43" s="358"/>
      <c r="F43" s="358"/>
      <c r="G43" s="358"/>
      <c r="H43" s="358"/>
      <c r="I43" s="358"/>
      <c r="J43" s="358"/>
      <c r="K43" s="358"/>
      <c r="L43" s="358"/>
      <c r="M43" s="358"/>
      <c r="N43" s="358"/>
      <c r="O43" s="358"/>
      <c r="P43" s="358"/>
      <c r="Q43" s="358"/>
      <c r="R43" s="358"/>
      <c r="S43" s="358"/>
      <c r="T43" s="358"/>
      <c r="U43" s="358"/>
      <c r="V43" s="358"/>
      <c r="W43" s="358"/>
      <c r="X43" s="358"/>
      <c r="Y43" s="358"/>
      <c r="Z43" s="358"/>
      <c r="AA43" s="358"/>
    </row>
    <row r="44" spans="2:27">
      <c r="B44" s="359"/>
      <c r="C44" s="359"/>
      <c r="D44" s="358"/>
      <c r="E44" s="358"/>
      <c r="F44" s="358"/>
      <c r="G44" s="358"/>
      <c r="H44" s="358"/>
      <c r="I44" s="358"/>
      <c r="J44" s="358"/>
      <c r="K44" s="358"/>
      <c r="L44" s="358"/>
      <c r="M44" s="358"/>
      <c r="N44" s="358"/>
      <c r="O44" s="358"/>
      <c r="P44" s="358"/>
      <c r="Q44" s="358"/>
      <c r="R44" s="358"/>
      <c r="S44" s="358"/>
      <c r="T44" s="358"/>
      <c r="U44" s="358"/>
      <c r="V44" s="358"/>
      <c r="W44" s="358"/>
      <c r="X44" s="358"/>
      <c r="Y44" s="358"/>
      <c r="Z44" s="358"/>
      <c r="AA44" s="358"/>
    </row>
    <row r="45" spans="2:27">
      <c r="B45" s="359"/>
      <c r="C45" s="359"/>
      <c r="D45" s="358"/>
      <c r="E45" s="358"/>
      <c r="F45" s="358"/>
      <c r="G45" s="358"/>
      <c r="H45" s="358"/>
      <c r="I45" s="358"/>
      <c r="J45" s="358"/>
      <c r="K45" s="358"/>
      <c r="L45" s="358"/>
      <c r="M45" s="358"/>
      <c r="N45" s="358"/>
      <c r="O45" s="358"/>
      <c r="P45" s="358"/>
      <c r="Q45" s="358"/>
      <c r="R45" s="358"/>
      <c r="S45" s="358"/>
      <c r="T45" s="358"/>
      <c r="U45" s="358"/>
      <c r="V45" s="358"/>
      <c r="W45" s="358"/>
      <c r="X45" s="358"/>
      <c r="Y45" s="358"/>
      <c r="Z45" s="358"/>
      <c r="AA45" s="358"/>
    </row>
    <row r="50" spans="4:4">
      <c r="D50" s="1112"/>
    </row>
  </sheetData>
  <mergeCells count="10">
    <mergeCell ref="D37:I37"/>
    <mergeCell ref="I2:M6"/>
    <mergeCell ref="B37:C37"/>
    <mergeCell ref="B39:C39"/>
    <mergeCell ref="B4:C4"/>
    <mergeCell ref="B6:C6"/>
    <mergeCell ref="B8:C8"/>
    <mergeCell ref="B31:C31"/>
    <mergeCell ref="B33:C33"/>
    <mergeCell ref="B35:C35"/>
  </mergeCells>
  <phoneticPr fontId="14" type="noConversion"/>
  <printOptions horizontalCentered="1" gridLinesSet="0"/>
  <pageMargins left="0.75" right="0.75" top="0.5" bottom="0.5"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pageSetUpPr fitToPage="1"/>
  </sheetPr>
  <dimension ref="A1:O66"/>
  <sheetViews>
    <sheetView showGridLines="0" workbookViewId="0">
      <selection activeCell="R48" sqref="R48"/>
    </sheetView>
  </sheetViews>
  <sheetFormatPr defaultColWidth="8.83203125" defaultRowHeight="14.4"/>
  <cols>
    <col min="1" max="1" width="10.4140625" style="1130" customWidth="1"/>
    <col min="2" max="2" width="8" style="1130" customWidth="1"/>
    <col min="3" max="9" width="8.83203125" style="1130"/>
    <col min="10" max="10" width="8.1640625" style="1130" customWidth="1"/>
    <col min="11" max="14" width="8.83203125" style="1130"/>
    <col min="15" max="15" width="6.4140625" style="1130" customWidth="1"/>
    <col min="16" max="16384" width="8.83203125" style="1130"/>
  </cols>
  <sheetData>
    <row r="1" spans="1:15" ht="23.25" customHeight="1">
      <c r="A1" s="1407" t="s">
        <v>628</v>
      </c>
      <c r="B1" s="1407"/>
      <c r="C1" s="1407"/>
      <c r="D1" s="1407"/>
      <c r="E1" s="1407"/>
      <c r="F1" s="1407"/>
      <c r="G1" s="1407"/>
      <c r="H1" s="1407"/>
      <c r="I1" s="1407"/>
      <c r="J1" s="1407"/>
      <c r="K1" s="1407"/>
      <c r="L1" s="1407"/>
      <c r="M1" s="1407"/>
      <c r="N1" s="1407"/>
    </row>
    <row r="2" spans="1:15" ht="20.25" customHeight="1">
      <c r="A2" s="1131" t="s">
        <v>614</v>
      </c>
      <c r="B2" s="1131" t="str">
        <f>CONCATENATE($A$31,$A$28,$B$7,$A$29,$B$11)</f>
        <v>Interim financial report for grant # 3 R25 NS 095377-01S1, UW budget no. 62-7032</v>
      </c>
      <c r="C2" s="1132"/>
      <c r="D2" s="1132"/>
      <c r="E2" s="1132"/>
      <c r="F2" s="1132"/>
      <c r="G2" s="1132"/>
      <c r="H2" s="1133"/>
      <c r="I2" s="1132"/>
      <c r="J2" s="1132"/>
      <c r="K2" s="1132"/>
      <c r="L2" s="1132"/>
      <c r="M2" s="1132"/>
      <c r="N2" s="1132"/>
    </row>
    <row r="3" spans="1:15" ht="23.25" customHeight="1">
      <c r="A3" s="1132"/>
      <c r="B3" s="1132"/>
      <c r="C3" s="1132"/>
      <c r="D3" s="1132"/>
      <c r="E3" s="1132"/>
      <c r="F3" s="1132"/>
      <c r="G3" s="1132"/>
      <c r="H3" s="1132"/>
      <c r="I3" s="1132"/>
      <c r="J3" s="1132"/>
      <c r="K3" s="1132"/>
      <c r="L3" s="1132"/>
      <c r="M3" s="1132"/>
      <c r="N3" s="1132"/>
    </row>
    <row r="4" spans="1:15" ht="15" customHeight="1"/>
    <row r="5" spans="1:15" ht="15" customHeight="1">
      <c r="A5" s="1130" t="s">
        <v>608</v>
      </c>
      <c r="B5" s="1147"/>
      <c r="D5" s="1148" t="s">
        <v>638</v>
      </c>
    </row>
    <row r="6" spans="1:15" ht="15" hidden="1" customHeight="1">
      <c r="A6" s="1130" t="s">
        <v>629</v>
      </c>
      <c r="B6" s="1134" t="str">
        <f>IF(Input!E48="f","Final",IF(Input!E48="r","Revised","Interim"))</f>
        <v>Interim</v>
      </c>
    </row>
    <row r="7" spans="1:15" ht="15" hidden="1" customHeight="1">
      <c r="A7" s="1130" t="s">
        <v>609</v>
      </c>
      <c r="B7" s="1134" t="str">
        <f>Input!D27</f>
        <v>3 R25 NS 095377-01S1</v>
      </c>
    </row>
    <row r="8" spans="1:15" ht="15" hidden="1" customHeight="1">
      <c r="A8" s="1130" t="s">
        <v>610</v>
      </c>
      <c r="B8" s="1135">
        <f>Input!D25</f>
        <v>42277</v>
      </c>
      <c r="O8" s="1130" t="str">
        <f>TEXT(B8,"MM/DD/YYYY")</f>
        <v>09/30/2015</v>
      </c>
    </row>
    <row r="9" spans="1:15" ht="15" hidden="1" customHeight="1">
      <c r="A9" s="1130" t="s">
        <v>611</v>
      </c>
      <c r="B9" s="1135">
        <f>Input!D24</f>
        <v>42613</v>
      </c>
      <c r="O9" s="1130" t="str">
        <f>TEXT(B9,"MM/DD/YYYY")</f>
        <v>08/31/2016</v>
      </c>
    </row>
    <row r="10" spans="1:15" ht="15" hidden="1" customHeight="1">
      <c r="A10" s="1130" t="s">
        <v>612</v>
      </c>
      <c r="B10" s="1135" t="str">
        <f>Input!D32</f>
        <v>ELLENBOGEN, RICHARD G.</v>
      </c>
    </row>
    <row r="11" spans="1:15" ht="15" hidden="1" customHeight="1">
      <c r="A11" s="1130" t="s">
        <v>613</v>
      </c>
      <c r="B11" s="1135" t="str">
        <f>Input!D16</f>
        <v>62-7032</v>
      </c>
    </row>
    <row r="12" spans="1:15" ht="15" hidden="1" customHeight="1">
      <c r="B12" s="1136"/>
    </row>
    <row r="13" spans="1:15" ht="15" hidden="1" customHeight="1">
      <c r="A13" s="1130" t="s">
        <v>630</v>
      </c>
      <c r="B13" s="1136"/>
    </row>
    <row r="14" spans="1:15" ht="15" hidden="1" customHeight="1">
      <c r="A14" s="1130" t="s">
        <v>631</v>
      </c>
      <c r="B14" s="1136"/>
    </row>
    <row r="15" spans="1:15" ht="15" hidden="1" customHeight="1">
      <c r="A15" s="1130" t="s">
        <v>632</v>
      </c>
      <c r="B15" s="1136"/>
    </row>
    <row r="16" spans="1:15" ht="15" hidden="1" customHeight="1">
      <c r="A16" s="1130" t="s">
        <v>622</v>
      </c>
    </row>
    <row r="17" spans="1:10" ht="15" hidden="1" customHeight="1">
      <c r="A17" s="1130" t="s">
        <v>633</v>
      </c>
      <c r="B17" s="1136"/>
    </row>
    <row r="18" spans="1:10" ht="15" hidden="1" customHeight="1">
      <c r="A18" s="1130" t="s">
        <v>621</v>
      </c>
      <c r="B18" s="1136"/>
    </row>
    <row r="19" spans="1:10" ht="15" hidden="1" customHeight="1">
      <c r="A19" s="1130" t="s">
        <v>623</v>
      </c>
      <c r="B19" s="1136"/>
    </row>
    <row r="20" spans="1:10" ht="15" hidden="1" customHeight="1">
      <c r="A20" s="1130" t="s">
        <v>619</v>
      </c>
      <c r="B20" s="1136"/>
    </row>
    <row r="21" spans="1:10" ht="15" hidden="1" customHeight="1">
      <c r="B21" s="1136"/>
    </row>
    <row r="22" spans="1:10" ht="15" hidden="1" customHeight="1">
      <c r="A22" s="1130" t="s">
        <v>624</v>
      </c>
      <c r="B22" s="1136"/>
      <c r="J22" s="1136"/>
    </row>
    <row r="23" spans="1:10" ht="15" hidden="1" customHeight="1">
      <c r="A23" s="1137" t="s">
        <v>625</v>
      </c>
      <c r="B23" s="1136"/>
    </row>
    <row r="24" spans="1:10" ht="15" hidden="1" customHeight="1">
      <c r="A24" s="1137" t="s">
        <v>621</v>
      </c>
      <c r="B24" s="1136"/>
    </row>
    <row r="25" spans="1:10" ht="15" hidden="1" customHeight="1">
      <c r="A25" s="1130" t="s">
        <v>626</v>
      </c>
      <c r="B25" s="1136"/>
    </row>
    <row r="26" spans="1:10" ht="15" hidden="1" customHeight="1">
      <c r="A26" s="1130" t="s">
        <v>637</v>
      </c>
      <c r="B26" s="1136"/>
    </row>
    <row r="27" spans="1:10" ht="15" hidden="1" customHeight="1">
      <c r="B27" s="1136"/>
    </row>
    <row r="28" spans="1:10" ht="15" hidden="1" customHeight="1">
      <c r="A28" s="1130" t="s">
        <v>620</v>
      </c>
      <c r="B28" s="1136"/>
    </row>
    <row r="29" spans="1:10" ht="15" hidden="1" customHeight="1">
      <c r="A29" s="1130" t="s">
        <v>627</v>
      </c>
      <c r="B29" s="1136"/>
    </row>
    <row r="30" spans="1:10" ht="15" hidden="1" customHeight="1">
      <c r="B30" s="1136"/>
    </row>
    <row r="31" spans="1:10" ht="15" hidden="1" customHeight="1">
      <c r="A31" s="1130" t="str">
        <f>PROPER(B6)</f>
        <v>Interim</v>
      </c>
      <c r="B31" s="1136"/>
    </row>
    <row r="32" spans="1:10" ht="15" customHeight="1"/>
    <row r="33" spans="1:14" ht="18">
      <c r="A33" s="1408" t="s">
        <v>634</v>
      </c>
      <c r="B33" s="1408"/>
      <c r="C33" s="1408"/>
      <c r="D33" s="1408"/>
      <c r="E33" s="1408"/>
      <c r="F33" s="1408"/>
      <c r="G33" s="1408"/>
      <c r="H33" s="1408"/>
      <c r="I33" s="1408"/>
      <c r="J33" s="1408"/>
      <c r="K33" s="1408"/>
      <c r="L33" s="1408"/>
      <c r="M33" s="1408"/>
      <c r="N33" s="1408"/>
    </row>
    <row r="34" spans="1:14">
      <c r="A34" s="1138" t="s">
        <v>568</v>
      </c>
      <c r="B34" s="1138"/>
      <c r="C34" s="1138"/>
      <c r="D34" s="1138"/>
      <c r="E34" s="1138"/>
      <c r="F34" s="1138"/>
      <c r="G34" s="1138"/>
      <c r="H34" s="1138"/>
      <c r="I34" s="1138"/>
      <c r="J34" s="1138"/>
      <c r="K34" s="1138"/>
      <c r="L34" s="1138"/>
      <c r="M34" s="1138"/>
      <c r="N34" s="1138"/>
    </row>
    <row r="35" spans="1:14">
      <c r="A35" s="1138"/>
      <c r="B35" s="1138"/>
      <c r="C35" s="1138"/>
      <c r="D35" s="1138"/>
      <c r="E35" s="1138"/>
      <c r="F35" s="1138"/>
      <c r="G35" s="1138"/>
      <c r="H35" s="1138"/>
      <c r="I35" s="1138"/>
      <c r="J35" s="1138"/>
      <c r="K35" s="1138"/>
      <c r="L35" s="1138"/>
      <c r="M35" s="1138"/>
      <c r="N35" s="1138"/>
    </row>
    <row r="36" spans="1:14" ht="15.75" customHeight="1">
      <c r="A36" s="1139" t="str">
        <f>CONCATENATE($A$13,$B$6,$A$14,$A$15,TEXT(B$8,"mm/dd/yyyy"),$A$16,TEXT(B$9,"mm/dd/yyyy"),A$17,B$7,A$18,B$10,A$19)</f>
        <v>Attached is an Interim financial report, covering the period 09/30/2015 through 08/31/2016, for grant # 3 R25 NS 095377-01S1 under the direction of ELLENBOGEN, RICHARD G..</v>
      </c>
      <c r="B36" s="1139"/>
      <c r="C36" s="1139"/>
      <c r="D36" s="1139"/>
      <c r="E36" s="1139"/>
      <c r="F36" s="1139"/>
      <c r="G36" s="1139"/>
      <c r="H36" s="1139"/>
      <c r="I36" s="1139"/>
      <c r="J36" s="1139"/>
      <c r="K36" s="1139"/>
      <c r="L36" s="1139"/>
      <c r="M36" s="1139"/>
      <c r="N36" s="1139"/>
    </row>
    <row r="37" spans="1:14" ht="12.75" customHeight="1">
      <c r="A37" s="1140"/>
      <c r="B37" s="1140"/>
      <c r="C37" s="1140"/>
      <c r="D37" s="1140"/>
      <c r="E37" s="1140"/>
      <c r="F37" s="1140"/>
      <c r="G37" s="1140"/>
      <c r="H37" s="1140"/>
      <c r="I37" s="1140"/>
      <c r="J37" s="1140"/>
      <c r="K37" s="1140"/>
      <c r="L37" s="1140"/>
      <c r="M37" s="1140"/>
      <c r="N37" s="1140"/>
    </row>
    <row r="38" spans="1:14" ht="12.75" customHeight="1">
      <c r="A38" s="1141" t="str">
        <f>CONCATENATE($A$25,$B$11,$A$26)</f>
        <v xml:space="preserve">Please refer to University of Washington budget number 62-7032 if there are any questions concerning this report.  </v>
      </c>
      <c r="B38" s="1141"/>
      <c r="C38" s="1141"/>
      <c r="D38" s="1141"/>
      <c r="E38" s="1141"/>
      <c r="F38" s="1141"/>
      <c r="G38" s="1141"/>
      <c r="H38" s="1141"/>
      <c r="I38" s="1141"/>
      <c r="J38" s="1141"/>
      <c r="K38" s="1141"/>
      <c r="L38" s="1141"/>
      <c r="M38" s="1141"/>
      <c r="N38" s="1141"/>
    </row>
    <row r="39" spans="1:14" ht="12.75" customHeight="1">
      <c r="A39" s="1140"/>
      <c r="B39" s="1140"/>
      <c r="C39" s="1140"/>
      <c r="D39" s="1140"/>
      <c r="E39" s="1140"/>
      <c r="F39" s="1140"/>
      <c r="G39" s="1140"/>
      <c r="H39" s="1140"/>
      <c r="I39" s="1140"/>
      <c r="J39" s="1140"/>
      <c r="K39" s="1140"/>
      <c r="L39" s="1140"/>
      <c r="M39" s="1140"/>
      <c r="N39" s="1140"/>
    </row>
    <row r="40" spans="1:14" ht="12.75" customHeight="1">
      <c r="A40" s="1138" t="s">
        <v>615</v>
      </c>
      <c r="B40" s="1138"/>
      <c r="C40" s="1138"/>
      <c r="D40" s="1138"/>
      <c r="E40" s="1138"/>
      <c r="F40" s="1138"/>
      <c r="G40" s="1138"/>
      <c r="H40" s="1138"/>
      <c r="I40" s="1138"/>
      <c r="J40" s="1138"/>
      <c r="K40" s="1138"/>
      <c r="L40" s="1138"/>
      <c r="M40" s="1138"/>
      <c r="N40" s="1138"/>
    </row>
    <row r="41" spans="1:14">
      <c r="A41" s="1138"/>
      <c r="B41" s="1138"/>
      <c r="C41" s="1138"/>
      <c r="D41" s="1138"/>
      <c r="E41" s="1138"/>
      <c r="F41" s="1138"/>
      <c r="G41" s="1138"/>
      <c r="H41" s="1138"/>
      <c r="I41" s="1138"/>
      <c r="J41" s="1138"/>
      <c r="K41" s="1138"/>
      <c r="L41" s="1138"/>
      <c r="M41" s="1138"/>
      <c r="N41" s="1138"/>
    </row>
    <row r="42" spans="1:14">
      <c r="A42" s="1149">
        <f>B5</f>
        <v>0</v>
      </c>
      <c r="B42" s="1138"/>
      <c r="C42" s="1138"/>
      <c r="D42" s="1138"/>
      <c r="E42" s="1138"/>
      <c r="F42" s="1138"/>
      <c r="G42" s="1138"/>
      <c r="H42" s="1138"/>
      <c r="I42" s="1138"/>
      <c r="J42" s="1138"/>
      <c r="K42" s="1138"/>
      <c r="L42" s="1138"/>
      <c r="M42" s="1138"/>
      <c r="N42" s="1138"/>
    </row>
    <row r="43" spans="1:14">
      <c r="A43" s="1142" t="s">
        <v>361</v>
      </c>
      <c r="B43" s="1138"/>
      <c r="C43" s="1138"/>
      <c r="D43" s="1138"/>
      <c r="E43" s="1138"/>
      <c r="F43" s="1138"/>
      <c r="G43" s="1138"/>
      <c r="H43" s="1138"/>
      <c r="I43" s="1138"/>
      <c r="J43" s="1138"/>
      <c r="K43" s="1138"/>
      <c r="L43" s="1138"/>
      <c r="M43" s="1138"/>
      <c r="N43" s="1138"/>
    </row>
    <row r="44" spans="1:14">
      <c r="A44" s="1142" t="s">
        <v>616</v>
      </c>
      <c r="B44" s="1138"/>
      <c r="C44" s="1138"/>
      <c r="D44" s="1138"/>
      <c r="E44" s="1138"/>
      <c r="F44" s="1138"/>
      <c r="G44" s="1138"/>
      <c r="H44" s="1138"/>
      <c r="I44" s="1138"/>
      <c r="J44" s="1138"/>
      <c r="K44" s="1138"/>
      <c r="L44" s="1138"/>
      <c r="M44" s="1138"/>
      <c r="N44" s="1138"/>
    </row>
    <row r="45" spans="1:14">
      <c r="A45" s="1142" t="s">
        <v>617</v>
      </c>
      <c r="B45" s="1138"/>
      <c r="C45" s="1138"/>
      <c r="D45" s="1138"/>
      <c r="E45" s="1138"/>
      <c r="F45" s="1138"/>
      <c r="G45" s="1138"/>
      <c r="H45" s="1138"/>
      <c r="I45" s="1138"/>
      <c r="J45" s="1138"/>
      <c r="K45" s="1138"/>
      <c r="L45" s="1138"/>
      <c r="M45" s="1138"/>
      <c r="N45" s="1138"/>
    </row>
    <row r="46" spans="1:14">
      <c r="A46" s="1142" t="s">
        <v>546</v>
      </c>
      <c r="B46" s="1138"/>
      <c r="C46" s="1138"/>
      <c r="D46" s="1138"/>
      <c r="E46" s="1138"/>
      <c r="F46" s="1138"/>
      <c r="G46" s="1138"/>
      <c r="H46" s="1138"/>
      <c r="I46" s="1138"/>
      <c r="J46" s="1138"/>
      <c r="K46" s="1138"/>
      <c r="L46" s="1138"/>
      <c r="M46" s="1138"/>
      <c r="N46" s="1138"/>
    </row>
    <row r="47" spans="1:14">
      <c r="A47" s="1130" t="s">
        <v>618</v>
      </c>
      <c r="B47" s="1138"/>
      <c r="C47" s="1138"/>
      <c r="D47" s="1138"/>
      <c r="E47" s="1138"/>
      <c r="F47" s="1138"/>
      <c r="G47" s="1138"/>
      <c r="H47" s="1138"/>
      <c r="I47" s="1138"/>
      <c r="J47" s="1138"/>
      <c r="K47" s="1138"/>
      <c r="L47" s="1138"/>
      <c r="M47" s="1138"/>
      <c r="N47" s="1138"/>
    </row>
    <row r="48" spans="1:14">
      <c r="A48" s="1138"/>
      <c r="B48" s="1138"/>
      <c r="C48" s="1138"/>
      <c r="D48" s="1138"/>
      <c r="E48" s="1138"/>
      <c r="F48" s="1138"/>
      <c r="G48" s="1138"/>
      <c r="H48" s="1138"/>
      <c r="I48" s="1138"/>
      <c r="J48" s="1138"/>
      <c r="K48" s="1138"/>
      <c r="L48" s="1138"/>
      <c r="M48" s="1138"/>
      <c r="N48" s="1138"/>
    </row>
    <row r="50" spans="1:14" ht="18">
      <c r="A50" s="1408" t="s">
        <v>635</v>
      </c>
      <c r="B50" s="1408"/>
      <c r="C50" s="1408"/>
      <c r="D50" s="1408"/>
      <c r="E50" s="1408"/>
      <c r="F50" s="1408"/>
      <c r="G50" s="1408"/>
      <c r="H50" s="1408"/>
      <c r="I50" s="1408"/>
      <c r="J50" s="1408"/>
      <c r="K50" s="1408"/>
      <c r="L50" s="1408"/>
      <c r="M50" s="1408"/>
      <c r="N50" s="1408"/>
    </row>
    <row r="51" spans="1:14">
      <c r="A51" s="1143" t="s">
        <v>568</v>
      </c>
      <c r="B51" s="1143"/>
      <c r="C51" s="1143"/>
      <c r="D51" s="1143"/>
      <c r="E51" s="1143"/>
      <c r="F51" s="1143"/>
      <c r="G51" s="1143"/>
      <c r="H51" s="1143"/>
      <c r="I51" s="1143"/>
      <c r="J51" s="1143"/>
      <c r="K51" s="1143"/>
      <c r="L51" s="1143"/>
      <c r="M51" s="1143"/>
      <c r="N51" s="1143"/>
    </row>
    <row r="52" spans="1:14">
      <c r="A52" s="1143"/>
      <c r="B52" s="1143"/>
      <c r="C52" s="1143"/>
      <c r="D52" s="1143"/>
      <c r="E52" s="1143"/>
      <c r="F52" s="1143"/>
      <c r="G52" s="1143"/>
      <c r="H52" s="1143"/>
      <c r="I52" s="1143"/>
      <c r="J52" s="1143"/>
      <c r="K52" s="1143"/>
      <c r="L52" s="1143"/>
      <c r="M52" s="1143"/>
      <c r="N52" s="1143"/>
    </row>
    <row r="53" spans="1:14" ht="15" customHeight="1">
      <c r="A53" s="1144" t="str">
        <f>CONCATENATE(A20,B6,A22,B7,A23,O9,A24,B10,A19)</f>
        <v>Attached is the Interim report for grant # 3 R25 NS 095377-01S1 through the period ending 08/31/2016 under the direction of ELLENBOGEN, RICHARD G..</v>
      </c>
      <c r="B53" s="1144"/>
      <c r="C53" s="1144"/>
      <c r="D53" s="1144"/>
      <c r="E53" s="1144"/>
      <c r="F53" s="1144"/>
      <c r="G53" s="1144"/>
      <c r="H53" s="1144"/>
      <c r="I53" s="1144"/>
      <c r="J53" s="1144"/>
      <c r="K53" s="1144"/>
      <c r="L53" s="1144"/>
      <c r="M53" s="1144"/>
      <c r="N53" s="1144"/>
    </row>
    <row r="54" spans="1:14">
      <c r="A54" s="1145"/>
      <c r="B54" s="1145"/>
      <c r="C54" s="1145"/>
      <c r="D54" s="1145"/>
      <c r="E54" s="1145"/>
      <c r="F54" s="1145"/>
      <c r="G54" s="1145"/>
      <c r="H54" s="1145"/>
      <c r="I54" s="1145"/>
      <c r="J54" s="1145"/>
      <c r="K54" s="1145"/>
      <c r="L54" s="1145"/>
      <c r="M54" s="1145"/>
      <c r="N54" s="1145"/>
    </row>
    <row r="55" spans="1:14" ht="15" customHeight="1">
      <c r="A55" s="1146" t="str">
        <f>CONCATENATE($A$25,$B$11,$A$26)</f>
        <v xml:space="preserve">Please refer to University of Washington budget number 62-7032 if there are any questions concerning this report.  </v>
      </c>
      <c r="B55" s="1146"/>
      <c r="C55" s="1146"/>
      <c r="D55" s="1146"/>
      <c r="E55" s="1146"/>
      <c r="F55" s="1146"/>
      <c r="G55" s="1146"/>
      <c r="H55" s="1146"/>
      <c r="I55" s="1146"/>
      <c r="J55" s="1146"/>
      <c r="K55" s="1146"/>
      <c r="L55" s="1146"/>
      <c r="M55" s="1146"/>
      <c r="N55" s="1146"/>
    </row>
    <row r="56" spans="1:14">
      <c r="A56" s="1145"/>
      <c r="B56" s="1145"/>
      <c r="C56" s="1145"/>
      <c r="D56" s="1145"/>
      <c r="E56" s="1145"/>
      <c r="F56" s="1145"/>
      <c r="G56" s="1145"/>
      <c r="H56" s="1145"/>
      <c r="I56" s="1145"/>
      <c r="J56" s="1145"/>
      <c r="K56" s="1145"/>
      <c r="L56" s="1145"/>
      <c r="M56" s="1145"/>
      <c r="N56" s="1145"/>
    </row>
    <row r="57" spans="1:14">
      <c r="A57" s="1143" t="s">
        <v>615</v>
      </c>
      <c r="B57" s="1143"/>
      <c r="C57" s="1143"/>
      <c r="D57" s="1143"/>
      <c r="E57" s="1143"/>
      <c r="F57" s="1143"/>
      <c r="G57" s="1143"/>
      <c r="H57" s="1143"/>
      <c r="I57" s="1143"/>
      <c r="J57" s="1143"/>
      <c r="K57" s="1143"/>
      <c r="L57" s="1143"/>
      <c r="M57" s="1143"/>
      <c r="N57" s="1143"/>
    </row>
    <row r="58" spans="1:14">
      <c r="A58" s="1143"/>
      <c r="B58" s="1143"/>
      <c r="C58" s="1143"/>
      <c r="D58" s="1143"/>
      <c r="E58" s="1143"/>
      <c r="F58" s="1143"/>
      <c r="G58" s="1143"/>
      <c r="H58" s="1143"/>
      <c r="I58" s="1143"/>
      <c r="J58" s="1143"/>
      <c r="K58" s="1143"/>
      <c r="L58" s="1143"/>
      <c r="M58" s="1143"/>
      <c r="N58" s="1143"/>
    </row>
    <row r="59" spans="1:14">
      <c r="A59" s="1149">
        <f>B5</f>
        <v>0</v>
      </c>
      <c r="B59" s="1138"/>
      <c r="C59" s="1138"/>
      <c r="D59" s="1138"/>
      <c r="E59" s="1138"/>
      <c r="F59" s="1138"/>
      <c r="G59" s="1138"/>
      <c r="H59" s="1138"/>
      <c r="I59" s="1138"/>
      <c r="J59" s="1138"/>
      <c r="K59" s="1138"/>
      <c r="L59" s="1138"/>
      <c r="M59" s="1138"/>
      <c r="N59" s="1138"/>
    </row>
    <row r="60" spans="1:14">
      <c r="A60" s="1142" t="s">
        <v>361</v>
      </c>
      <c r="B60" s="1138"/>
      <c r="C60" s="1138"/>
      <c r="D60" s="1138"/>
      <c r="E60" s="1138"/>
      <c r="F60" s="1138"/>
      <c r="G60" s="1138"/>
      <c r="H60" s="1138"/>
      <c r="I60" s="1138"/>
      <c r="J60" s="1138"/>
      <c r="K60" s="1138"/>
      <c r="L60" s="1138"/>
      <c r="M60" s="1138"/>
      <c r="N60" s="1138"/>
    </row>
    <row r="61" spans="1:14">
      <c r="A61" s="1142" t="s">
        <v>616</v>
      </c>
      <c r="B61" s="1138"/>
      <c r="C61" s="1138"/>
      <c r="D61" s="1138"/>
      <c r="E61" s="1138"/>
      <c r="F61" s="1138"/>
      <c r="G61" s="1138"/>
      <c r="H61" s="1138"/>
      <c r="I61" s="1138"/>
      <c r="J61" s="1138"/>
      <c r="K61" s="1138"/>
      <c r="L61" s="1138"/>
      <c r="M61" s="1138"/>
      <c r="N61" s="1138"/>
    </row>
    <row r="62" spans="1:14">
      <c r="A62" s="1142" t="s">
        <v>617</v>
      </c>
      <c r="B62" s="1138"/>
      <c r="C62" s="1138"/>
      <c r="D62" s="1138"/>
      <c r="E62" s="1138"/>
      <c r="F62" s="1138"/>
      <c r="G62" s="1138"/>
      <c r="H62" s="1138"/>
      <c r="I62" s="1138"/>
      <c r="J62" s="1138"/>
      <c r="K62" s="1138"/>
      <c r="L62" s="1138"/>
      <c r="M62" s="1138"/>
      <c r="N62" s="1138"/>
    </row>
    <row r="63" spans="1:14">
      <c r="A63" s="1142" t="s">
        <v>546</v>
      </c>
      <c r="B63" s="1138"/>
      <c r="C63" s="1138"/>
      <c r="D63" s="1138"/>
      <c r="E63" s="1138"/>
      <c r="F63" s="1138"/>
      <c r="G63" s="1138"/>
      <c r="H63" s="1138"/>
      <c r="I63" s="1138"/>
      <c r="J63" s="1138"/>
      <c r="K63" s="1138"/>
      <c r="L63" s="1138"/>
      <c r="M63" s="1138"/>
      <c r="N63" s="1138"/>
    </row>
    <row r="64" spans="1:14">
      <c r="A64" s="1130" t="s">
        <v>618</v>
      </c>
      <c r="B64" s="1138"/>
      <c r="C64" s="1138"/>
      <c r="D64" s="1138"/>
      <c r="E64" s="1138"/>
      <c r="F64" s="1138"/>
      <c r="G64" s="1138"/>
      <c r="H64" s="1138"/>
      <c r="I64" s="1138"/>
      <c r="J64" s="1138"/>
      <c r="K64" s="1138"/>
      <c r="L64" s="1138"/>
      <c r="M64" s="1138"/>
      <c r="N64" s="1138"/>
    </row>
    <row r="65" spans="1:14">
      <c r="A65" s="1138"/>
      <c r="B65" s="1138"/>
      <c r="C65" s="1138"/>
      <c r="D65" s="1138"/>
      <c r="E65" s="1138"/>
      <c r="F65" s="1138"/>
      <c r="G65" s="1138"/>
      <c r="H65" s="1138"/>
      <c r="I65" s="1138"/>
      <c r="J65" s="1138"/>
      <c r="K65" s="1138"/>
      <c r="L65" s="1138"/>
      <c r="M65" s="1138"/>
      <c r="N65" s="1138"/>
    </row>
    <row r="66" spans="1:14">
      <c r="A66" s="1143"/>
      <c r="B66" s="1143"/>
      <c r="C66" s="1143"/>
      <c r="D66" s="1143"/>
      <c r="E66" s="1143"/>
      <c r="F66" s="1143"/>
      <c r="G66" s="1143"/>
      <c r="H66" s="1143"/>
      <c r="I66" s="1143"/>
      <c r="J66" s="1143"/>
      <c r="K66" s="1143"/>
      <c r="L66" s="1143"/>
      <c r="M66" s="1143"/>
      <c r="N66" s="1143"/>
    </row>
  </sheetData>
  <mergeCells count="3">
    <mergeCell ref="A1:N1"/>
    <mergeCell ref="A33:N33"/>
    <mergeCell ref="A50:N50"/>
  </mergeCells>
  <pageMargins left="0.25" right="0.25" top="0.75" bottom="0.75" header="0.3" footer="0.3"/>
  <pageSetup scale="91"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B96"/>
  <sheetViews>
    <sheetView showGridLines="0" zoomScale="99" workbookViewId="0">
      <selection activeCell="B22" sqref="B22"/>
    </sheetView>
  </sheetViews>
  <sheetFormatPr defaultColWidth="8" defaultRowHeight="15.6"/>
  <cols>
    <col min="1" max="1" width="12" style="161" customWidth="1"/>
    <col min="2" max="2" width="59.1640625" style="161" customWidth="1"/>
    <col min="3" max="16384" width="8" style="161"/>
  </cols>
  <sheetData>
    <row r="1" spans="2:2" ht="23.4">
      <c r="B1" s="162" t="s">
        <v>379</v>
      </c>
    </row>
    <row r="2" spans="2:2">
      <c r="B2" s="163" t="s">
        <v>380</v>
      </c>
    </row>
    <row r="3" spans="2:2">
      <c r="B3" s="163" t="s">
        <v>545</v>
      </c>
    </row>
    <row r="4" spans="2:2">
      <c r="B4" s="163" t="s">
        <v>546</v>
      </c>
    </row>
    <row r="5" spans="2:2">
      <c r="B5" s="590"/>
    </row>
    <row r="6" spans="2:2">
      <c r="B6" s="590"/>
    </row>
    <row r="7" spans="2:2">
      <c r="B7" s="590"/>
    </row>
    <row r="8" spans="2:2" ht="14.1" customHeight="1">
      <c r="B8" s="591" t="str">
        <f>IF(Input!E41="","",Input!E41)</f>
        <v/>
      </c>
    </row>
    <row r="9" spans="2:2" ht="14.1" customHeight="1">
      <c r="B9" s="591" t="str">
        <f>IF(Input!E42="","",Input!E42)</f>
        <v/>
      </c>
    </row>
    <row r="10" spans="2:2" ht="14.1" customHeight="1">
      <c r="B10" s="591" t="str">
        <f>IF(Input!E43="","",Input!E43)</f>
        <v/>
      </c>
    </row>
    <row r="11" spans="2:2" ht="14.1" customHeight="1">
      <c r="B11" s="591" t="str">
        <f>IF(Input!E44="","",Input!E44)</f>
        <v/>
      </c>
    </row>
    <row r="12" spans="2:2" ht="14.1" customHeight="1">
      <c r="B12" s="591" t="str">
        <f>IF(Input!E45="","",Input!E45)</f>
        <v/>
      </c>
    </row>
    <row r="13" spans="2:2" ht="14.1" customHeight="1">
      <c r="B13" s="591" t="str">
        <f>IF(Input!E46="","",Input!E46)</f>
        <v/>
      </c>
    </row>
    <row r="14" spans="2:2">
      <c r="B14" s="591"/>
    </row>
    <row r="15" spans="2:2">
      <c r="B15" s="590"/>
    </row>
    <row r="16" spans="2:2">
      <c r="B16" s="592">
        <f ca="1">NOW()</f>
        <v>42849.430286689814</v>
      </c>
    </row>
    <row r="17" spans="2:2">
      <c r="B17" s="590"/>
    </row>
    <row r="18" spans="2:2">
      <c r="B18" s="590" t="str">
        <f>"RE:      Fiscal Report/Grant:  "&amp;Input!D27&amp;", UW budget no. "&amp;Input!D57</f>
        <v>RE:      Fiscal Report/Grant:  3 R25 NS 095377-01S1, UW budget no. 62-7032</v>
      </c>
    </row>
    <row r="19" spans="2:2">
      <c r="B19" s="590"/>
    </row>
    <row r="20" spans="2:2">
      <c r="B20" s="590"/>
    </row>
    <row r="21" spans="2:2">
      <c r="B21" s="590" t="str">
        <f>"Enclosed is a copy of the "&amp;IF(Input!E48="a","annual",IF(Input!E48="f","final",IF(Input!E48="s","financial",IF(Input!E48="r","revised",""))))&amp;" report on the above referenced grant covering the"</f>
        <v>Enclosed is a copy of the annual report on the above referenced grant covering the</v>
      </c>
    </row>
    <row r="22" spans="2:2">
      <c r="B22" s="590" t="str">
        <f>"period "&amp;MONTH(Input!D23)&amp;"/"&amp;DAY(Input!D23)&amp;"/"&amp;YEAR(Input!D23)&amp;" through "&amp;MONTH(Input!D24)&amp;"/"&amp;DAY(Input!D24)&amp;"/"&amp;YEAR(Input!D24)&amp;" under the direction of Dr."&amp;Input!E40&amp;"."</f>
        <v>period 9/30/2015 through 8/31/2016 under the direction of Dr. RICHARD G ELLENBOGEN.</v>
      </c>
    </row>
    <row r="23" spans="2:2">
      <c r="B23" s="590"/>
    </row>
    <row r="24" spans="2:2">
      <c r="B24" s="590" t="str">
        <f>"Please refer to University of Washington account number "&amp;Input!D16&amp;" if you have any"</f>
        <v>Please refer to University of Washington account number 62-7032 if you have any</v>
      </c>
    </row>
    <row r="25" spans="2:2">
      <c r="B25" s="590" t="s">
        <v>381</v>
      </c>
    </row>
    <row r="26" spans="2:2">
      <c r="B26" s="590"/>
    </row>
    <row r="27" spans="2:2">
      <c r="B27" s="590"/>
    </row>
    <row r="28" spans="2:2">
      <c r="B28" s="590" t="s">
        <v>361</v>
      </c>
    </row>
    <row r="29" spans="2:2">
      <c r="B29" s="590" t="s">
        <v>380</v>
      </c>
    </row>
    <row r="30" spans="2:2">
      <c r="B30" s="590" t="s">
        <v>474</v>
      </c>
    </row>
    <row r="31" spans="2:2">
      <c r="B31" s="590" t="s">
        <v>475</v>
      </c>
    </row>
    <row r="32" spans="2:2">
      <c r="B32" s="590"/>
    </row>
    <row r="33" spans="2:2">
      <c r="B33" s="590"/>
    </row>
    <row r="34" spans="2:2">
      <c r="B34" s="590" t="s">
        <v>320</v>
      </c>
    </row>
    <row r="35" spans="2:2">
      <c r="B35" s="590"/>
    </row>
    <row r="36" spans="2:2">
      <c r="B36" s="590"/>
    </row>
    <row r="37" spans="2:2">
      <c r="B37" s="590"/>
    </row>
    <row r="38" spans="2:2">
      <c r="B38" s="590"/>
    </row>
    <row r="39" spans="2:2">
      <c r="B39" s="590"/>
    </row>
    <row r="40" spans="2:2">
      <c r="B40" s="590"/>
    </row>
    <row r="41" spans="2:2">
      <c r="B41" s="590"/>
    </row>
    <row r="42" spans="2:2">
      <c r="B42" s="590"/>
    </row>
    <row r="43" spans="2:2">
      <c r="B43" s="590"/>
    </row>
    <row r="44" spans="2:2">
      <c r="B44" s="590"/>
    </row>
    <row r="45" spans="2:2">
      <c r="B45" s="590"/>
    </row>
    <row r="46" spans="2:2">
      <c r="B46" s="590"/>
    </row>
    <row r="47" spans="2:2">
      <c r="B47" s="590"/>
    </row>
    <row r="48" spans="2:2">
      <c r="B48" s="590"/>
    </row>
    <row r="49" spans="2:2">
      <c r="B49" s="590"/>
    </row>
    <row r="50" spans="2:2">
      <c r="B50" s="590"/>
    </row>
    <row r="51" spans="2:2">
      <c r="B51" s="590"/>
    </row>
    <row r="52" spans="2:2">
      <c r="B52" s="590"/>
    </row>
    <row r="53" spans="2:2">
      <c r="B53" s="590"/>
    </row>
    <row r="54" spans="2:2">
      <c r="B54" s="590"/>
    </row>
    <row r="55" spans="2:2">
      <c r="B55" s="590"/>
    </row>
    <row r="56" spans="2:2">
      <c r="B56" s="590"/>
    </row>
    <row r="57" spans="2:2">
      <c r="B57" s="590"/>
    </row>
    <row r="58" spans="2:2">
      <c r="B58" s="590"/>
    </row>
    <row r="59" spans="2:2">
      <c r="B59" s="590"/>
    </row>
    <row r="60" spans="2:2">
      <c r="B60" s="590"/>
    </row>
    <row r="61" spans="2:2">
      <c r="B61" s="590"/>
    </row>
    <row r="62" spans="2:2">
      <c r="B62" s="590"/>
    </row>
    <row r="63" spans="2:2">
      <c r="B63" s="590"/>
    </row>
    <row r="64" spans="2:2">
      <c r="B64" s="590"/>
    </row>
    <row r="65" spans="2:2">
      <c r="B65" s="590"/>
    </row>
    <row r="66" spans="2:2">
      <c r="B66" s="590"/>
    </row>
    <row r="67" spans="2:2">
      <c r="B67" s="590"/>
    </row>
    <row r="68" spans="2:2">
      <c r="B68" s="590"/>
    </row>
    <row r="69" spans="2:2">
      <c r="B69" s="590"/>
    </row>
    <row r="70" spans="2:2">
      <c r="B70" s="590"/>
    </row>
    <row r="71" spans="2:2">
      <c r="B71" s="590"/>
    </row>
    <row r="72" spans="2:2">
      <c r="B72" s="590"/>
    </row>
    <row r="73" spans="2:2">
      <c r="B73" s="590"/>
    </row>
    <row r="74" spans="2:2">
      <c r="B74" s="590"/>
    </row>
    <row r="75" spans="2:2">
      <c r="B75" s="590"/>
    </row>
    <row r="76" spans="2:2">
      <c r="B76" s="590"/>
    </row>
    <row r="77" spans="2:2">
      <c r="B77" s="590"/>
    </row>
    <row r="78" spans="2:2">
      <c r="B78" s="590"/>
    </row>
    <row r="79" spans="2:2">
      <c r="B79" s="590"/>
    </row>
    <row r="80" spans="2:2">
      <c r="B80" s="590"/>
    </row>
    <row r="81" spans="2:2">
      <c r="B81" s="590"/>
    </row>
    <row r="82" spans="2:2">
      <c r="B82" s="590"/>
    </row>
    <row r="83" spans="2:2">
      <c r="B83" s="590"/>
    </row>
    <row r="84" spans="2:2">
      <c r="B84" s="590"/>
    </row>
    <row r="85" spans="2:2">
      <c r="B85" s="590"/>
    </row>
    <row r="86" spans="2:2">
      <c r="B86" s="590"/>
    </row>
    <row r="87" spans="2:2">
      <c r="B87" s="590"/>
    </row>
    <row r="88" spans="2:2">
      <c r="B88" s="590"/>
    </row>
    <row r="89" spans="2:2">
      <c r="B89" s="164"/>
    </row>
    <row r="90" spans="2:2">
      <c r="B90" s="164"/>
    </row>
    <row r="91" spans="2:2">
      <c r="B91" s="164"/>
    </row>
    <row r="92" spans="2:2">
      <c r="B92" s="164"/>
    </row>
    <row r="93" spans="2:2">
      <c r="B93" s="164"/>
    </row>
    <row r="94" spans="2:2">
      <c r="B94" s="164"/>
    </row>
    <row r="95" spans="2:2">
      <c r="B95" s="164"/>
    </row>
    <row r="96" spans="2:2">
      <c r="B96" s="164"/>
    </row>
  </sheetData>
  <phoneticPr fontId="19" type="noConversion"/>
  <printOptions horizontalCentered="1" gridLinesSet="0"/>
  <pageMargins left="0.25" right="0.75" top="0.5" bottom="1" header="0.5" footer="0.5"/>
  <pageSetup orientation="portrait" horizontalDpi="4294967292" verticalDpi="14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J22"/>
  <sheetViews>
    <sheetView showGridLines="0" zoomScaleNormal="100" workbookViewId="0">
      <selection activeCell="K7" sqref="K7"/>
    </sheetView>
  </sheetViews>
  <sheetFormatPr defaultColWidth="8.83203125" defaultRowHeight="15.6"/>
  <cols>
    <col min="1" max="1" width="1.58203125" style="40" customWidth="1"/>
    <col min="2" max="3" width="8.6640625" style="40" customWidth="1"/>
    <col min="4" max="4" width="9.58203125" style="40" customWidth="1"/>
    <col min="5" max="10" width="12.6640625" style="40" customWidth="1"/>
    <col min="11" max="11" width="1.83203125" style="40" customWidth="1"/>
    <col min="12" max="16384" width="8.83203125" style="40"/>
  </cols>
  <sheetData>
    <row r="1" spans="2:10" ht="21">
      <c r="B1" s="126" t="s">
        <v>321</v>
      </c>
      <c r="C1" s="126"/>
      <c r="D1" s="127"/>
      <c r="E1" s="127"/>
      <c r="F1" s="127"/>
      <c r="G1" s="127"/>
      <c r="H1" s="127"/>
      <c r="I1" s="127"/>
      <c r="J1" s="127"/>
    </row>
    <row r="3" spans="2:10">
      <c r="B3" s="128" t="s">
        <v>322</v>
      </c>
      <c r="C3" s="128"/>
      <c r="D3" s="129" t="str">
        <f>Input!D16</f>
        <v>62-7032</v>
      </c>
    </row>
    <row r="4" spans="2:10">
      <c r="B4" s="128" t="s">
        <v>323</v>
      </c>
      <c r="C4" s="128"/>
      <c r="D4" s="130" t="str">
        <f>Input!D20</f>
        <v>23</v>
      </c>
    </row>
    <row r="6" spans="2:10" ht="18" customHeight="1">
      <c r="B6" s="131" t="s">
        <v>324</v>
      </c>
      <c r="C6" s="131"/>
      <c r="D6" s="132" t="s">
        <v>325</v>
      </c>
      <c r="E6" s="132" t="s">
        <v>326</v>
      </c>
      <c r="F6" s="132" t="s">
        <v>327</v>
      </c>
      <c r="G6" s="132" t="s">
        <v>328</v>
      </c>
      <c r="H6" s="132" t="s">
        <v>305</v>
      </c>
      <c r="I6" s="132" t="s">
        <v>397</v>
      </c>
      <c r="J6" s="132" t="s">
        <v>329</v>
      </c>
    </row>
    <row r="7" spans="2:10" ht="18" customHeight="1">
      <c r="B7" s="133">
        <f>Input!H94</f>
        <v>42277</v>
      </c>
      <c r="C7" s="134">
        <f>Input!I94</f>
        <v>42613</v>
      </c>
      <c r="D7" s="135">
        <f>Input!I86</f>
        <v>0.08</v>
      </c>
      <c r="E7" s="136">
        <f>Input!J94-Input!K94</f>
        <v>76903.45</v>
      </c>
      <c r="F7" s="137">
        <f>Input!L94</f>
        <v>0</v>
      </c>
      <c r="G7" s="138">
        <f>E7-F7</f>
        <v>76903.45</v>
      </c>
      <c r="H7" s="138">
        <f>G7*D7</f>
        <v>6152.2759999999998</v>
      </c>
      <c r="I7" s="138">
        <f>Input!K94</f>
        <v>6152.27</v>
      </c>
      <c r="J7" s="139">
        <f>H7-I7</f>
        <v>5.9999999994033715E-3</v>
      </c>
    </row>
    <row r="8" spans="2:10" ht="18" customHeight="1">
      <c r="B8" s="133" t="str">
        <f>Input!H95</f>
        <v/>
      </c>
      <c r="C8" s="134" t="str">
        <f>Input!I95</f>
        <v/>
      </c>
      <c r="D8" s="140">
        <f>IF(Input!I87=0,0,Input!I87)</f>
        <v>0</v>
      </c>
      <c r="E8" s="136">
        <f>Input!J95-Input!K95</f>
        <v>0</v>
      </c>
      <c r="F8" s="141">
        <f>IF(Input!L95=0,0,Input!L95)</f>
        <v>0</v>
      </c>
      <c r="G8" s="138">
        <f>IF(Input!J95=0,0,E8-F8)</f>
        <v>0</v>
      </c>
      <c r="H8" s="138">
        <f>G8*D8</f>
        <v>0</v>
      </c>
      <c r="I8" s="142">
        <f>IF(Input!J95=0,0,Input!K95)</f>
        <v>0</v>
      </c>
      <c r="J8" s="139">
        <f>H8-I8</f>
        <v>0</v>
      </c>
    </row>
    <row r="9" spans="2:10" ht="18" customHeight="1">
      <c r="B9" s="133" t="str">
        <f>Input!H96</f>
        <v/>
      </c>
      <c r="C9" s="134" t="str">
        <f>Input!I96</f>
        <v/>
      </c>
      <c r="D9" s="140">
        <f>IF(Input!I88=0,0,Input!I88)</f>
        <v>0</v>
      </c>
      <c r="E9" s="136">
        <f>Input!J96-Input!K96</f>
        <v>0</v>
      </c>
      <c r="F9" s="141">
        <f>IF(Input!L96=0,0,Input!L96)</f>
        <v>0</v>
      </c>
      <c r="G9" s="138">
        <f>IF(Input!J96=0,0,E9-F9)</f>
        <v>0</v>
      </c>
      <c r="H9" s="138">
        <f>G9*D9</f>
        <v>0</v>
      </c>
      <c r="I9" s="142">
        <f>IF(Input!J96=0,0,Input!K96)</f>
        <v>0</v>
      </c>
      <c r="J9" s="139">
        <f>H9-I9</f>
        <v>0</v>
      </c>
    </row>
    <row r="10" spans="2:10" ht="18" customHeight="1">
      <c r="B10" s="133" t="str">
        <f>Input!H97</f>
        <v/>
      </c>
      <c r="C10" s="134" t="str">
        <f>Input!I97</f>
        <v/>
      </c>
      <c r="D10" s="140">
        <f>IF(Input!I89=0,0,Input!I89)</f>
        <v>0</v>
      </c>
      <c r="E10" s="136">
        <f>Input!J97-Input!K97</f>
        <v>0</v>
      </c>
      <c r="F10" s="141">
        <f>IF(Input!L97=0,0,Input!L97)</f>
        <v>0</v>
      </c>
      <c r="G10" s="138">
        <f>IF(Input!J97=0,0,E10-F10)</f>
        <v>0</v>
      </c>
      <c r="H10" s="138">
        <f>G10*D10</f>
        <v>0</v>
      </c>
      <c r="I10" s="142">
        <f>IF(Input!J97=0,0,Input!K97)</f>
        <v>0</v>
      </c>
      <c r="J10" s="139">
        <f>H10-I10</f>
        <v>0</v>
      </c>
    </row>
    <row r="11" spans="2:10" ht="18" customHeight="1">
      <c r="B11" s="143"/>
      <c r="C11" s="143"/>
      <c r="D11" s="143"/>
      <c r="E11" s="144">
        <f t="shared" ref="E11:J11" si="0">SUM(E7:E10)</f>
        <v>76903.45</v>
      </c>
      <c r="F11" s="144">
        <f t="shared" si="0"/>
        <v>0</v>
      </c>
      <c r="G11" s="144">
        <f t="shared" si="0"/>
        <v>76903.45</v>
      </c>
      <c r="H11" s="144">
        <f t="shared" si="0"/>
        <v>6152.2759999999998</v>
      </c>
      <c r="I11" s="144">
        <f t="shared" si="0"/>
        <v>6152.27</v>
      </c>
      <c r="J11" s="144">
        <f t="shared" si="0"/>
        <v>5.9999999994033715E-3</v>
      </c>
    </row>
    <row r="12" spans="2:10">
      <c r="E12" s="145"/>
      <c r="G12" s="146"/>
      <c r="H12" s="138"/>
    </row>
    <row r="13" spans="2:10" ht="16.2" thickBot="1">
      <c r="G13" s="146"/>
      <c r="H13" s="147"/>
    </row>
    <row r="14" spans="2:10" ht="16.2" thickTop="1">
      <c r="F14" s="148" t="s">
        <v>330</v>
      </c>
      <c r="G14" s="143"/>
      <c r="H14" s="149"/>
      <c r="I14" s="150" t="s">
        <v>331</v>
      </c>
      <c r="J14" s="151">
        <f>H11</f>
        <v>6152.2759999999998</v>
      </c>
    </row>
    <row r="15" spans="2:10">
      <c r="F15" s="152" t="str">
        <f>Input!C83</f>
        <v>Research Storage C&amp;C (03-04)</v>
      </c>
      <c r="G15" s="102"/>
      <c r="H15" s="139">
        <f>Input!D83</f>
        <v>0</v>
      </c>
      <c r="I15" s="153" t="s">
        <v>332</v>
      </c>
      <c r="J15" s="154">
        <f>I11</f>
        <v>6152.27</v>
      </c>
    </row>
    <row r="16" spans="2:10" ht="16.2" thickBot="1">
      <c r="F16" s="152" t="str">
        <f>Input!C84</f>
        <v>Patient Care (03-27, 03-32)</v>
      </c>
      <c r="G16" s="102"/>
      <c r="H16" s="139">
        <f>Input!D84</f>
        <v>0</v>
      </c>
      <c r="I16" s="155" t="s">
        <v>333</v>
      </c>
      <c r="J16" s="156">
        <f>J14-J15</f>
        <v>5.9999999994033715E-3</v>
      </c>
    </row>
    <row r="17" spans="6:8" ht="16.2" thickTop="1">
      <c r="F17" s="152" t="str">
        <f>Input!C85</f>
        <v xml:space="preserve">Subcontract (03-62) </v>
      </c>
      <c r="G17" s="102"/>
      <c r="H17" s="139">
        <f>Input!D85</f>
        <v>0</v>
      </c>
    </row>
    <row r="18" spans="6:8">
      <c r="F18" s="152" t="str">
        <f>Input!C86</f>
        <v xml:space="preserve">Building Rentals (03-80) </v>
      </c>
      <c r="G18" s="102"/>
      <c r="H18" s="139">
        <f>Input!D86</f>
        <v>0</v>
      </c>
    </row>
    <row r="19" spans="6:8">
      <c r="F19" s="152" t="str">
        <f>Input!C87</f>
        <v xml:space="preserve">Equipment (06) </v>
      </c>
      <c r="G19" s="102"/>
      <c r="H19" s="139">
        <f>Input!D87</f>
        <v>0</v>
      </c>
    </row>
    <row r="20" spans="6:8">
      <c r="F20" s="152" t="str">
        <f>Input!C88</f>
        <v xml:space="preserve">Tuition (08-05) </v>
      </c>
      <c r="G20" s="102"/>
      <c r="H20" s="139">
        <f>Input!D88</f>
        <v>0</v>
      </c>
    </row>
    <row r="21" spans="6:8">
      <c r="F21" s="152" t="str">
        <f>Input!C89</f>
        <v>Other (05-47, 05-48, etc.)</v>
      </c>
      <c r="G21" s="102"/>
      <c r="H21" s="157">
        <f>Input!D89</f>
        <v>0</v>
      </c>
    </row>
    <row r="22" spans="6:8">
      <c r="F22" s="112"/>
      <c r="G22" s="158" t="s">
        <v>334</v>
      </c>
      <c r="H22" s="159">
        <f>SUM(H15:H21)</f>
        <v>0</v>
      </c>
    </row>
  </sheetData>
  <phoneticPr fontId="14" type="noConversion"/>
  <printOptions gridLinesSet="0"/>
  <pageMargins left="0.75" right="0.75" top="1" bottom="1" header="0.5" footer="0.5"/>
  <pageSetup scale="90" orientation="landscape" horizontalDpi="4294967292" verticalDpi="144"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2"/>
  <sheetViews>
    <sheetView showGridLines="0" zoomScale="130" zoomScaleNormal="130" workbookViewId="0">
      <selection activeCell="K5" sqref="K5"/>
    </sheetView>
  </sheetViews>
  <sheetFormatPr defaultColWidth="7.5" defaultRowHeight="13.8"/>
  <cols>
    <col min="1" max="1" width="1.1640625" style="165" customWidth="1"/>
    <col min="2" max="2" width="7.5" style="165" customWidth="1"/>
    <col min="3" max="3" width="5.6640625" style="165" customWidth="1"/>
    <col min="4" max="4" width="6.83203125" style="165" customWidth="1"/>
    <col min="5" max="5" width="5.6640625" style="165" customWidth="1"/>
    <col min="6" max="6" width="3.08203125" style="165" customWidth="1"/>
    <col min="7" max="7" width="5" style="165" customWidth="1"/>
    <col min="8" max="8" width="7.5" style="165" customWidth="1"/>
    <col min="9" max="9" width="12.5" style="165" customWidth="1"/>
    <col min="10" max="10" width="1.1640625" style="165" customWidth="1"/>
    <col min="11" max="16384" width="7.5" style="165"/>
  </cols>
  <sheetData>
    <row r="1" spans="1:11" ht="18">
      <c r="A1" s="165" t="s">
        <v>11</v>
      </c>
      <c r="B1" s="166" t="s">
        <v>275</v>
      </c>
      <c r="C1" s="167"/>
      <c r="D1" s="167"/>
      <c r="E1" s="167"/>
      <c r="F1" s="167"/>
      <c r="G1" s="167"/>
      <c r="H1" s="167"/>
      <c r="I1" s="167"/>
      <c r="J1" s="167"/>
    </row>
    <row r="2" spans="1:11" ht="18">
      <c r="B2" s="166" t="s">
        <v>276</v>
      </c>
      <c r="C2" s="167"/>
      <c r="D2" s="167"/>
      <c r="E2" s="167"/>
      <c r="F2" s="167"/>
      <c r="G2" s="167"/>
      <c r="H2" s="167"/>
      <c r="I2" s="167"/>
      <c r="J2" s="167"/>
    </row>
    <row r="3" spans="1:11">
      <c r="A3" s="168"/>
      <c r="B3" s="169"/>
      <c r="C3" s="169"/>
      <c r="D3" s="169"/>
      <c r="E3" s="170"/>
      <c r="F3" s="169"/>
      <c r="G3" s="169"/>
      <c r="H3" s="169"/>
      <c r="I3" s="169"/>
      <c r="J3" s="169"/>
      <c r="K3" s="168"/>
    </row>
    <row r="4" spans="1:11" ht="15" customHeight="1">
      <c r="B4" s="171" t="s">
        <v>277</v>
      </c>
      <c r="C4" s="172" t="str">
        <f>Input!D16</f>
        <v>62-7032</v>
      </c>
      <c r="D4" s="173"/>
      <c r="I4" s="174"/>
    </row>
    <row r="5" spans="1:11" s="176" customFormat="1" ht="15" customHeight="1">
      <c r="A5" s="175"/>
      <c r="B5" s="169"/>
      <c r="C5" s="170"/>
      <c r="D5" s="170"/>
      <c r="E5" s="170"/>
      <c r="F5" s="170"/>
      <c r="G5" s="170"/>
      <c r="H5" s="170"/>
      <c r="I5" s="168"/>
      <c r="J5" s="175"/>
    </row>
    <row r="6" spans="1:11" s="176" customFormat="1" ht="15" customHeight="1">
      <c r="B6" s="167" t="s">
        <v>278</v>
      </c>
      <c r="C6" s="177" t="str">
        <f>Input!D22</f>
        <v xml:space="preserve">SUMMER R25            </v>
      </c>
      <c r="D6" s="178"/>
      <c r="E6" s="178"/>
      <c r="F6" s="51"/>
      <c r="G6" s="179"/>
      <c r="H6" s="40"/>
      <c r="I6" s="174" t="s">
        <v>731</v>
      </c>
      <c r="J6" s="180" t="s">
        <v>11</v>
      </c>
    </row>
    <row r="7" spans="1:11" ht="15" customHeight="1">
      <c r="A7" s="168"/>
      <c r="B7" s="168"/>
      <c r="C7" s="168"/>
      <c r="D7" s="168"/>
      <c r="E7" s="168"/>
      <c r="F7" s="168"/>
      <c r="G7" s="168"/>
      <c r="H7" s="168"/>
      <c r="I7" s="168"/>
      <c r="J7" s="168"/>
    </row>
    <row r="8" spans="1:11" s="176" customFormat="1" ht="15" customHeight="1" thickBot="1">
      <c r="B8" s="181" t="s">
        <v>277</v>
      </c>
      <c r="C8" s="182" t="s">
        <v>279</v>
      </c>
      <c r="D8" s="182"/>
      <c r="E8" s="182"/>
      <c r="F8" s="183"/>
      <c r="G8" s="184" t="s">
        <v>280</v>
      </c>
      <c r="H8" s="181" t="s">
        <v>281</v>
      </c>
      <c r="I8" s="181" t="s">
        <v>282</v>
      </c>
    </row>
    <row r="9" spans="1:11" ht="15" hidden="1" customHeight="1" thickTop="1">
      <c r="B9" s="185">
        <f>IF(I9&gt;0,Input!$D$17,0)</f>
        <v>0</v>
      </c>
      <c r="C9" s="186" t="s">
        <v>283</v>
      </c>
      <c r="D9" s="187"/>
      <c r="E9" s="188"/>
      <c r="F9" s="189" t="s">
        <v>11</v>
      </c>
      <c r="G9" s="190" t="s">
        <v>284</v>
      </c>
      <c r="H9" s="191" t="s">
        <v>285</v>
      </c>
      <c r="I9" s="192">
        <f>Input!C256</f>
        <v>0</v>
      </c>
    </row>
    <row r="10" spans="1:11" ht="15" hidden="1" customHeight="1">
      <c r="B10" s="185">
        <f>IF(I10&gt;0,Input!$D$17,0)</f>
        <v>0</v>
      </c>
      <c r="C10" s="193" t="s">
        <v>286</v>
      </c>
      <c r="D10" s="194"/>
      <c r="E10" s="195"/>
      <c r="F10" s="196" t="s">
        <v>11</v>
      </c>
      <c r="G10" s="197" t="s">
        <v>284</v>
      </c>
      <c r="H10" s="191" t="s">
        <v>287</v>
      </c>
      <c r="I10" s="198">
        <f>Input!C257</f>
        <v>0</v>
      </c>
    </row>
    <row r="11" spans="1:11" ht="15" hidden="1" customHeight="1">
      <c r="B11" s="185">
        <f>IF(I11&gt;0,Input!$D$17,0)</f>
        <v>0</v>
      </c>
      <c r="C11" s="199" t="s">
        <v>288</v>
      </c>
      <c r="D11" s="200"/>
      <c r="E11" s="195"/>
      <c r="F11" s="196" t="s">
        <v>11</v>
      </c>
      <c r="G11" s="197" t="s">
        <v>289</v>
      </c>
      <c r="H11" s="191"/>
      <c r="I11" s="198">
        <f>Input!C258</f>
        <v>0</v>
      </c>
    </row>
    <row r="12" spans="1:11" ht="15" hidden="1" customHeight="1">
      <c r="B12" s="185">
        <f>IF(I12&gt;0,Input!$D$17,0)</f>
        <v>0</v>
      </c>
      <c r="C12" s="199" t="s">
        <v>290</v>
      </c>
      <c r="D12" s="200"/>
      <c r="E12" s="195"/>
      <c r="F12" s="196" t="s">
        <v>11</v>
      </c>
      <c r="G12" s="197" t="s">
        <v>291</v>
      </c>
      <c r="H12" s="191"/>
      <c r="I12" s="198">
        <f>Input!C259</f>
        <v>0</v>
      </c>
    </row>
    <row r="13" spans="1:11" ht="15" hidden="1" customHeight="1">
      <c r="B13" s="185">
        <f>IF(I13&gt;0,Input!$D$17,0)</f>
        <v>0</v>
      </c>
      <c r="C13" s="193" t="s">
        <v>292</v>
      </c>
      <c r="D13" s="194"/>
      <c r="E13" s="195"/>
      <c r="F13" s="196" t="s">
        <v>11</v>
      </c>
      <c r="G13" s="197" t="s">
        <v>291</v>
      </c>
      <c r="H13" s="191" t="s">
        <v>293</v>
      </c>
      <c r="I13" s="198">
        <f>Input!C260</f>
        <v>0</v>
      </c>
    </row>
    <row r="14" spans="1:11" ht="15" hidden="1" customHeight="1">
      <c r="B14" s="185">
        <f>IF(I14&gt;0,Input!$D$17,0)</f>
        <v>0</v>
      </c>
      <c r="C14" s="193" t="s">
        <v>294</v>
      </c>
      <c r="D14" s="194"/>
      <c r="E14" s="195"/>
      <c r="F14" s="196" t="s">
        <v>11</v>
      </c>
      <c r="G14" s="197" t="s">
        <v>295</v>
      </c>
      <c r="H14" s="191"/>
      <c r="I14" s="198">
        <f>Input!C261</f>
        <v>0</v>
      </c>
    </row>
    <row r="15" spans="1:11" ht="15" hidden="1" customHeight="1">
      <c r="B15" s="185">
        <f>IF(I15&gt;0,Input!$D$17,0)</f>
        <v>0</v>
      </c>
      <c r="C15" s="193" t="s">
        <v>296</v>
      </c>
      <c r="D15" s="194"/>
      <c r="E15" s="195"/>
      <c r="F15" s="196" t="s">
        <v>11</v>
      </c>
      <c r="G15" s="197" t="s">
        <v>297</v>
      </c>
      <c r="H15" s="191"/>
      <c r="I15" s="198">
        <f>Input!C262</f>
        <v>0</v>
      </c>
    </row>
    <row r="16" spans="1:11" ht="15" hidden="1" customHeight="1">
      <c r="B16" s="185">
        <f>IF(I16&gt;0,Input!$D$17,0)</f>
        <v>0</v>
      </c>
      <c r="C16" s="193" t="s">
        <v>298</v>
      </c>
      <c r="D16" s="194"/>
      <c r="E16" s="195"/>
      <c r="F16" s="196" t="s">
        <v>11</v>
      </c>
      <c r="G16" s="197" t="s">
        <v>299</v>
      </c>
      <c r="H16" s="191"/>
      <c r="I16" s="198">
        <f>Input!C263</f>
        <v>0</v>
      </c>
    </row>
    <row r="17" spans="2:10" ht="15" hidden="1" customHeight="1">
      <c r="B17" s="185">
        <f>IF(I17&gt;0,Input!$D$17,0)</f>
        <v>0</v>
      </c>
      <c r="C17" s="193" t="s">
        <v>300</v>
      </c>
      <c r="D17" s="194"/>
      <c r="E17" s="195"/>
      <c r="F17" s="196" t="s">
        <v>11</v>
      </c>
      <c r="G17" s="197" t="s">
        <v>301</v>
      </c>
      <c r="H17" s="191"/>
      <c r="I17" s="198">
        <f>Input!C264</f>
        <v>0</v>
      </c>
    </row>
    <row r="18" spans="2:10" ht="15" hidden="1" customHeight="1">
      <c r="B18" s="185">
        <f>IF(I18&gt;0,Input!$D$17,0)</f>
        <v>0</v>
      </c>
      <c r="C18" s="193" t="s">
        <v>302</v>
      </c>
      <c r="D18" s="194"/>
      <c r="E18" s="195"/>
      <c r="F18" s="196" t="s">
        <v>11</v>
      </c>
      <c r="G18" s="197" t="s">
        <v>303</v>
      </c>
      <c r="H18" s="191" t="s">
        <v>289</v>
      </c>
      <c r="I18" s="198">
        <f>Input!C265</f>
        <v>0</v>
      </c>
    </row>
    <row r="19" spans="2:10" ht="15" hidden="1" customHeight="1">
      <c r="B19" s="185">
        <f>IF(I19&gt;0,Input!$D$17,0)</f>
        <v>0</v>
      </c>
      <c r="C19" s="193" t="s">
        <v>304</v>
      </c>
      <c r="D19" s="194"/>
      <c r="E19" s="195"/>
      <c r="F19" s="196" t="s">
        <v>11</v>
      </c>
      <c r="G19" s="197" t="s">
        <v>303</v>
      </c>
      <c r="H19" s="191" t="s">
        <v>297</v>
      </c>
      <c r="I19" s="198">
        <f>Input!C266</f>
        <v>0</v>
      </c>
    </row>
    <row r="20" spans="2:10" ht="15" customHeight="1" thickTop="1">
      <c r="B20" s="185" t="str">
        <f>IF(I20&gt;0,Input!$D$17,0)</f>
        <v>61-1620</v>
      </c>
      <c r="C20" s="193" t="s">
        <v>305</v>
      </c>
      <c r="D20" s="194"/>
      <c r="E20" s="201"/>
      <c r="F20" s="202" t="s">
        <v>11</v>
      </c>
      <c r="G20" s="203" t="s">
        <v>306</v>
      </c>
      <c r="H20" s="191" t="s">
        <v>307</v>
      </c>
      <c r="I20" s="198">
        <f>-Reconciliation!D42+Reconciliation!D47</f>
        <v>1986.2799999999988</v>
      </c>
    </row>
    <row r="21" spans="2:10" ht="15" customHeight="1">
      <c r="B21" s="185">
        <f>IF(I21&gt;0,Input!$D$17,0)</f>
        <v>0</v>
      </c>
      <c r="C21" s="193" t="s">
        <v>215</v>
      </c>
      <c r="D21" s="194"/>
      <c r="E21" s="195"/>
      <c r="F21" s="196" t="s">
        <v>11</v>
      </c>
      <c r="G21" s="197" t="s">
        <v>308</v>
      </c>
      <c r="H21" s="191" t="s">
        <v>307</v>
      </c>
      <c r="I21" s="198">
        <f>Reconciliation!E52</f>
        <v>0</v>
      </c>
    </row>
    <row r="22" spans="2:10" ht="15" customHeight="1">
      <c r="B22" s="185" t="str">
        <f>IF(I22&gt;0,Input!$D$17,0)</f>
        <v>61-1620</v>
      </c>
      <c r="C22" s="204" t="s">
        <v>309</v>
      </c>
      <c r="D22" s="205"/>
      <c r="E22" s="206"/>
      <c r="F22" s="207" t="s">
        <v>11</v>
      </c>
      <c r="G22" s="197" t="s">
        <v>310</v>
      </c>
      <c r="H22" s="191" t="s">
        <v>307</v>
      </c>
      <c r="I22" s="198">
        <f>IF(Reconciliation!C47&lt;&gt;0,Reconciliation!C47,0)</f>
        <v>24825</v>
      </c>
    </row>
    <row r="23" spans="2:10" ht="15" customHeight="1">
      <c r="B23" s="208" t="str">
        <f>Input!D16</f>
        <v>62-7032</v>
      </c>
      <c r="C23" s="209" t="s">
        <v>309</v>
      </c>
      <c r="D23" s="210"/>
      <c r="E23" s="211"/>
      <c r="F23" s="212" t="s">
        <v>11</v>
      </c>
      <c r="G23" s="213" t="s">
        <v>310</v>
      </c>
      <c r="H23" s="214" t="s">
        <v>307</v>
      </c>
      <c r="I23" s="215">
        <f>-Reconciliation!E40</f>
        <v>-26811.279999999999</v>
      </c>
    </row>
    <row r="24" spans="2:10" ht="15" customHeight="1" thickBot="1">
      <c r="B24" s="1122"/>
      <c r="C24" s="1412" t="s">
        <v>581</v>
      </c>
      <c r="D24" s="1413"/>
      <c r="E24" s="1413"/>
      <c r="F24" s="1413"/>
      <c r="G24" s="1413"/>
      <c r="H24" s="1414"/>
      <c r="I24" s="198">
        <f>Reconciliation!E56</f>
        <v>0</v>
      </c>
    </row>
    <row r="25" spans="2:10" ht="15" customHeight="1" thickTop="1" thickBot="1">
      <c r="B25" s="216"/>
      <c r="C25" s="217"/>
      <c r="D25" s="217"/>
      <c r="E25" s="217"/>
      <c r="F25" s="217" t="s">
        <v>11</v>
      </c>
      <c r="G25" s="102"/>
      <c r="H25" s="218" t="s">
        <v>98</v>
      </c>
      <c r="I25" s="219">
        <f>SUM(I9:I24)</f>
        <v>0</v>
      </c>
    </row>
    <row r="26" spans="2:10" ht="14.4" thickTop="1"/>
    <row r="27" spans="2:10" ht="15" customHeight="1">
      <c r="B27" s="220" t="s">
        <v>311</v>
      </c>
      <c r="C27" s="220"/>
      <c r="D27" s="220"/>
      <c r="E27" s="220"/>
      <c r="F27" s="220"/>
      <c r="G27" s="221" t="s">
        <v>312</v>
      </c>
      <c r="H27" s="222"/>
      <c r="I27" s="222"/>
      <c r="J27" s="40"/>
    </row>
    <row r="28" spans="2:10" ht="15" customHeight="1">
      <c r="B28" s="223" t="str">
        <f>"TO CLOSE BUDGET # "&amp;Input!D16</f>
        <v>TO CLOSE BUDGET # 62-7032</v>
      </c>
      <c r="C28" s="224"/>
      <c r="D28" s="224"/>
      <c r="E28" s="225"/>
      <c r="F28" s="226"/>
      <c r="G28" s="112"/>
      <c r="H28" s="227" t="s">
        <v>313</v>
      </c>
      <c r="I28" s="228">
        <f>Reconciliation!C47</f>
        <v>24825</v>
      </c>
      <c r="J28" s="40"/>
    </row>
    <row r="29" spans="2:10" ht="15" customHeight="1">
      <c r="G29" s="112"/>
      <c r="H29" s="227" t="s">
        <v>314</v>
      </c>
      <c r="I29" s="228">
        <f>Reconciliation!D47</f>
        <v>1986.2799999999988</v>
      </c>
      <c r="J29" s="40"/>
    </row>
    <row r="30" spans="2:10" ht="15" customHeight="1">
      <c r="B30" s="229" t="s">
        <v>275</v>
      </c>
      <c r="C30" s="1409">
        <v>501058</v>
      </c>
      <c r="D30" s="1410"/>
      <c r="E30" s="1411"/>
      <c r="F30" s="102"/>
      <c r="G30" s="112"/>
      <c r="H30" s="227" t="s">
        <v>315</v>
      </c>
      <c r="I30" s="228">
        <f>SUM(Input!C256:C266)</f>
        <v>0</v>
      </c>
      <c r="J30" s="40"/>
    </row>
    <row r="31" spans="2:10" ht="15" customHeight="1">
      <c r="B31" s="230" t="s">
        <v>317</v>
      </c>
      <c r="C31" s="231" t="str">
        <f>Input!D17</f>
        <v>61-1620</v>
      </c>
      <c r="D31" s="232" t="str">
        <f>IF(I21=0,"N/A",I21)</f>
        <v>N/A</v>
      </c>
      <c r="E31" s="231"/>
      <c r="F31" s="102" t="s">
        <v>11</v>
      </c>
      <c r="G31" s="112"/>
      <c r="H31" s="227" t="s">
        <v>316</v>
      </c>
      <c r="I31" s="228">
        <f>Input!C267</f>
        <v>0</v>
      </c>
      <c r="J31" s="40"/>
    </row>
    <row r="32" spans="2:10" ht="15" customHeight="1">
      <c r="B32" s="233"/>
      <c r="C32" s="216"/>
      <c r="D32" s="234"/>
      <c r="E32" s="216"/>
      <c r="F32" s="226"/>
      <c r="G32" s="112"/>
      <c r="H32" s="227" t="s">
        <v>318</v>
      </c>
      <c r="I32" s="228">
        <f>Reconciliation!E52</f>
        <v>0</v>
      </c>
      <c r="J32" s="40"/>
    </row>
    <row r="33" spans="1:10" ht="15" customHeight="1">
      <c r="A33" s="170"/>
      <c r="B33" s="170"/>
      <c r="C33" s="170"/>
      <c r="D33" s="170"/>
      <c r="E33" s="170"/>
      <c r="F33" s="170"/>
      <c r="G33" s="170"/>
      <c r="H33" s="235"/>
      <c r="I33" s="235"/>
      <c r="J33" s="168"/>
    </row>
    <row r="34" spans="1:10" s="176" customFormat="1" ht="15" customHeight="1">
      <c r="B34" s="176" t="s">
        <v>232</v>
      </c>
      <c r="E34" s="167" t="s">
        <v>319</v>
      </c>
      <c r="F34" s="47"/>
      <c r="G34" s="47"/>
      <c r="I34" s="171"/>
    </row>
    <row r="35" spans="1:10" ht="15" customHeight="1">
      <c r="B35" s="236">
        <f ca="1">NOW()</f>
        <v>42849.430286689814</v>
      </c>
      <c r="E35" s="237" t="str">
        <f>Input!D2</f>
        <v>Marlyn Del Cid</v>
      </c>
      <c r="F35" s="237"/>
      <c r="G35" s="238"/>
      <c r="H35" s="239"/>
      <c r="I35" s="226"/>
    </row>
    <row r="36" spans="1:10" ht="15" customHeight="1"/>
    <row r="37" spans="1:10" s="40" customFormat="1" ht="15.6">
      <c r="C37" s="40" t="str">
        <f>"RIGHT HAND SIDE OF FILE "&amp;Input!$D$17</f>
        <v>RIGHT HAND SIDE OF FILE 61-1620</v>
      </c>
    </row>
    <row r="38" spans="1:10" s="40" customFormat="1" ht="15.6"/>
    <row r="39" spans="1:10" s="40" customFormat="1" ht="15.6"/>
    <row r="40" spans="1:10" s="40" customFormat="1" ht="15.6"/>
    <row r="41" spans="1:10" s="40" customFormat="1" ht="15.6"/>
    <row r="42" spans="1:10" s="40" customFormat="1" ht="15.6"/>
  </sheetData>
  <mergeCells count="2">
    <mergeCell ref="C30:E30"/>
    <mergeCell ref="C24:H24"/>
  </mergeCells>
  <phoneticPr fontId="14" type="noConversion"/>
  <printOptions horizontalCentered="1" verticalCentered="1"/>
  <pageMargins left="0.75" right="0.75" top="1" bottom="1" header="0.5" footer="0.5"/>
  <pageSetup scale="115" orientation="portrait" r:id="rId1"/>
  <headerFooter alignWithMargins="0"/>
  <ignoredErrors>
    <ignoredError sqref="G9:H9 G23 H10:H23 G10:G22"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syncVertical="1" syncRef="A1" transitionEvaluation="1" transitionEntry="1" codeName="Sheet3">
    <pageSetUpPr fitToPage="1"/>
  </sheetPr>
  <dimension ref="A1:AQ115"/>
  <sheetViews>
    <sheetView showGridLines="0" showZeros="0" zoomScale="83" workbookViewId="0">
      <selection activeCell="B26" sqref="B26"/>
    </sheetView>
  </sheetViews>
  <sheetFormatPr defaultColWidth="6.83203125" defaultRowHeight="12.6"/>
  <cols>
    <col min="1" max="1" width="1.9140625" style="624" customWidth="1"/>
    <col min="2" max="2" width="14.33203125" style="625" customWidth="1"/>
    <col min="3" max="3" width="25.4140625" style="625" customWidth="1"/>
    <col min="4" max="4" width="17.6640625" style="625" customWidth="1"/>
    <col min="5" max="5" width="9.4140625" style="625" customWidth="1"/>
    <col min="6" max="6" width="12.4140625" style="625" customWidth="1"/>
    <col min="7" max="7" width="11.6640625" style="625" customWidth="1"/>
    <col min="8" max="17" width="6.83203125" style="625"/>
    <col min="18" max="19" width="3.33203125" style="625" customWidth="1"/>
    <col min="20" max="21" width="6.83203125" style="625" customWidth="1"/>
    <col min="22" max="22" width="5.4140625" style="625" customWidth="1"/>
    <col min="23" max="23" width="2.58203125" style="625" customWidth="1"/>
    <col min="24" max="24" width="4.6640625" style="625" customWidth="1"/>
    <col min="25" max="25" width="6.83203125" style="625"/>
    <col min="26" max="27" width="11.6640625" style="625" customWidth="1"/>
    <col min="28" max="28" width="6.83203125" style="625"/>
    <col min="29" max="29" width="4" style="625" customWidth="1"/>
    <col min="30" max="16384" width="6.83203125" style="625"/>
  </cols>
  <sheetData>
    <row r="1" spans="1:27" ht="33.75" customHeight="1"/>
    <row r="2" spans="1:27">
      <c r="A2" s="626"/>
      <c r="B2" s="626" t="s">
        <v>338</v>
      </c>
      <c r="C2" s="627">
        <f ca="1">NOW()</f>
        <v>42849.430286689814</v>
      </c>
      <c r="E2" s="628"/>
      <c r="F2" s="629"/>
      <c r="G2" s="629"/>
      <c r="H2" s="629"/>
      <c r="I2" s="629"/>
      <c r="J2" s="629"/>
      <c r="K2" s="629"/>
      <c r="L2" s="630"/>
      <c r="M2" s="630"/>
      <c r="N2" s="630"/>
      <c r="O2" s="630"/>
      <c r="P2" s="630"/>
      <c r="Q2" s="630"/>
      <c r="R2" s="630"/>
      <c r="S2" s="631"/>
      <c r="T2" s="632"/>
      <c r="U2" s="632"/>
      <c r="Z2" s="633"/>
    </row>
    <row r="3" spans="1:27">
      <c r="A3" s="626"/>
      <c r="B3" s="626" t="s">
        <v>160</v>
      </c>
      <c r="C3" s="634" t="str">
        <f>Input!D2</f>
        <v>Marlyn Del Cid</v>
      </c>
      <c r="D3" s="629"/>
      <c r="E3" s="629"/>
      <c r="F3" s="629"/>
      <c r="G3" s="629"/>
      <c r="H3" s="629"/>
      <c r="I3" s="629"/>
      <c r="J3" s="629"/>
      <c r="K3" s="629"/>
      <c r="L3" s="630"/>
      <c r="M3" s="630"/>
      <c r="N3" s="630"/>
      <c r="O3" s="630"/>
      <c r="P3" s="630"/>
      <c r="Q3" s="630"/>
      <c r="R3" s="630"/>
      <c r="S3" s="631"/>
    </row>
    <row r="4" spans="1:27">
      <c r="A4" s="626"/>
      <c r="B4" s="629"/>
      <c r="C4" s="629"/>
      <c r="D4" s="629"/>
      <c r="E4" s="635" t="s">
        <v>340</v>
      </c>
      <c r="F4" s="629"/>
      <c r="G4" s="635" t="s">
        <v>358</v>
      </c>
      <c r="H4" s="629"/>
      <c r="I4" s="629"/>
      <c r="J4" s="629"/>
      <c r="K4" s="629"/>
      <c r="L4" s="630"/>
      <c r="M4" s="630"/>
      <c r="N4" s="630"/>
      <c r="O4" s="630"/>
      <c r="P4" s="630"/>
      <c r="Q4" s="630"/>
      <c r="R4" s="630"/>
      <c r="S4" s="631"/>
    </row>
    <row r="5" spans="1:27">
      <c r="A5" s="626"/>
      <c r="B5" s="636" t="s">
        <v>339</v>
      </c>
      <c r="C5" s="637" t="str">
        <f>Input!D30</f>
        <v>NEUROLOGICAL SURGERY</v>
      </c>
      <c r="D5" s="629"/>
      <c r="E5" s="638" t="s">
        <v>11</v>
      </c>
      <c r="F5" s="639"/>
      <c r="G5" s="639"/>
      <c r="H5" s="629"/>
      <c r="I5" s="629"/>
      <c r="J5" s="629"/>
      <c r="K5" s="629"/>
      <c r="L5" s="630"/>
      <c r="M5" s="630"/>
      <c r="N5" s="630"/>
      <c r="O5" s="630"/>
      <c r="P5" s="630"/>
      <c r="Q5" s="630"/>
      <c r="R5" s="630"/>
    </row>
    <row r="6" spans="1:27">
      <c r="A6" s="626"/>
      <c r="B6" s="636" t="s">
        <v>341</v>
      </c>
      <c r="C6" s="640" t="str">
        <f>Input!D31</f>
        <v>359924</v>
      </c>
      <c r="D6" s="629"/>
      <c r="E6" s="641" t="str">
        <f>Input!D3</f>
        <v>Matthew L Gardner</v>
      </c>
      <c r="F6" s="629"/>
      <c r="G6" s="635" t="s">
        <v>11</v>
      </c>
      <c r="H6" s="629"/>
      <c r="I6" s="629"/>
      <c r="J6" s="629"/>
      <c r="K6" s="629"/>
      <c r="L6" s="630"/>
      <c r="M6" s="630"/>
      <c r="N6" s="630"/>
      <c r="O6" s="630"/>
      <c r="P6" s="630"/>
      <c r="Q6" s="630"/>
      <c r="R6" s="630"/>
    </row>
    <row r="7" spans="1:27">
      <c r="A7" s="626"/>
      <c r="B7" s="641"/>
      <c r="C7" s="629"/>
      <c r="D7" s="629"/>
      <c r="E7" s="641"/>
      <c r="F7" s="629"/>
      <c r="G7" s="635"/>
      <c r="H7" s="629"/>
      <c r="I7" s="629"/>
      <c r="J7" s="629"/>
      <c r="K7" s="629"/>
      <c r="L7" s="630"/>
      <c r="M7" s="630"/>
      <c r="N7" s="630"/>
      <c r="O7" s="630"/>
      <c r="P7" s="630"/>
      <c r="Q7" s="630"/>
      <c r="R7" s="630"/>
    </row>
    <row r="8" spans="1:27" ht="12.9" customHeight="1">
      <c r="A8" s="626"/>
      <c r="B8" s="629"/>
      <c r="C8" s="629"/>
      <c r="D8" s="629"/>
      <c r="E8" s="635" t="s">
        <v>11</v>
      </c>
      <c r="F8" s="629"/>
      <c r="G8" s="629"/>
      <c r="H8" s="629"/>
      <c r="I8" s="629"/>
      <c r="J8" s="629"/>
      <c r="K8" s="629"/>
      <c r="L8" s="630"/>
      <c r="M8" s="630"/>
      <c r="N8" s="630"/>
      <c r="O8" s="630"/>
      <c r="P8" s="630"/>
      <c r="Q8" s="630"/>
      <c r="R8" s="630"/>
    </row>
    <row r="9" spans="1:27" ht="12.9" customHeight="1" thickBot="1">
      <c r="A9" s="642"/>
      <c r="B9" s="643" t="s">
        <v>260</v>
      </c>
      <c r="C9" s="643" t="s">
        <v>342</v>
      </c>
      <c r="D9" s="643" t="s">
        <v>343</v>
      </c>
      <c r="E9" s="643" t="s">
        <v>344</v>
      </c>
      <c r="F9" s="644" t="s">
        <v>345</v>
      </c>
      <c r="G9" s="644" t="s">
        <v>346</v>
      </c>
      <c r="H9" s="629"/>
      <c r="I9" s="629"/>
      <c r="J9" s="629"/>
      <c r="K9" s="629"/>
      <c r="L9" s="630"/>
      <c r="M9" s="630"/>
      <c r="N9" s="630"/>
      <c r="O9" s="630"/>
      <c r="P9" s="630"/>
      <c r="Q9" s="630"/>
      <c r="R9" s="630"/>
      <c r="S9" s="645"/>
      <c r="U9" s="646"/>
      <c r="V9" s="646"/>
    </row>
    <row r="10" spans="1:27" ht="12.9" customHeight="1">
      <c r="A10" s="642"/>
      <c r="B10" s="647"/>
      <c r="C10" s="648"/>
      <c r="D10" s="649"/>
      <c r="E10" s="650"/>
      <c r="F10" s="650"/>
      <c r="G10" s="650"/>
      <c r="H10" s="629"/>
      <c r="I10" s="629"/>
      <c r="J10" s="629"/>
      <c r="K10" s="629"/>
      <c r="L10" s="630"/>
      <c r="M10" s="630"/>
      <c r="N10" s="630"/>
      <c r="O10" s="630"/>
      <c r="P10" s="630"/>
      <c r="Q10" s="630"/>
      <c r="R10" s="630"/>
      <c r="U10" s="632"/>
    </row>
    <row r="11" spans="1:27" ht="12.9" customHeight="1">
      <c r="A11" s="651" t="s">
        <v>347</v>
      </c>
      <c r="B11" s="652" t="s">
        <v>479</v>
      </c>
      <c r="C11" s="653" t="str">
        <f>IF(IDC!J16&lt;0,E29,IF(IDC!J16&gt;0,Input!D16,""))</f>
        <v>62-7032</v>
      </c>
      <c r="D11" s="654" t="str">
        <f>IF(C11=Input!D16,"25-99-00",MID(Input!E29,17,8))</f>
        <v>25-99-00</v>
      </c>
      <c r="E11" s="655" t="s">
        <v>11</v>
      </c>
      <c r="F11" s="656">
        <f>ABS(IDC!J16)</f>
        <v>5.9999999994033715E-3</v>
      </c>
      <c r="G11" s="657"/>
      <c r="H11" s="629"/>
      <c r="I11" s="629"/>
      <c r="J11" s="629"/>
      <c r="K11" s="629"/>
      <c r="L11" s="630"/>
      <c r="M11" s="630"/>
      <c r="N11" s="630"/>
      <c r="O11" s="630"/>
      <c r="P11" s="630"/>
      <c r="Q11" s="630"/>
      <c r="R11" s="630"/>
      <c r="S11" s="645"/>
      <c r="U11" s="632"/>
    </row>
    <row r="12" spans="1:27" ht="12.9" customHeight="1">
      <c r="A12" s="658"/>
      <c r="B12" s="655" t="str">
        <f>B11</f>
        <v>IND COST ADJ</v>
      </c>
      <c r="C12" s="653" t="str">
        <f>IF(IDC!J16&gt;0,E29,IF(IDC!J16&lt;0,Input!D16,""))</f>
        <v>51-1734</v>
      </c>
      <c r="D12" s="654" t="str">
        <f>IF(C12=Input!D16,"25-99-00",MID(Input!E29,17,8))</f>
        <v xml:space="preserve"> 9313-01</v>
      </c>
      <c r="E12" s="659" t="s">
        <v>11</v>
      </c>
      <c r="F12" s="660"/>
      <c r="G12" s="661">
        <f>F11</f>
        <v>5.9999999994033715E-3</v>
      </c>
      <c r="H12" s="629"/>
      <c r="I12" s="629"/>
      <c r="J12" s="629"/>
      <c r="K12" s="629"/>
      <c r="L12" s="630"/>
      <c r="M12" s="630"/>
      <c r="N12" s="630"/>
      <c r="O12" s="630"/>
      <c r="P12" s="630"/>
      <c r="Q12" s="630"/>
      <c r="R12" s="630"/>
    </row>
    <row r="13" spans="1:27">
      <c r="A13" s="658"/>
      <c r="B13" s="659"/>
      <c r="C13" s="662"/>
      <c r="D13" s="663"/>
      <c r="E13" s="659"/>
      <c r="F13" s="664"/>
      <c r="G13" s="664"/>
      <c r="H13" s="629"/>
      <c r="I13" s="629"/>
      <c r="J13" s="629"/>
      <c r="K13" s="629"/>
      <c r="L13" s="630"/>
      <c r="M13" s="630"/>
      <c r="N13" s="630"/>
      <c r="O13" s="630"/>
      <c r="P13" s="630"/>
      <c r="Q13" s="630"/>
      <c r="R13" s="630"/>
      <c r="S13" s="645"/>
      <c r="U13" s="632"/>
    </row>
    <row r="14" spans="1:27">
      <c r="A14" s="665"/>
      <c r="B14" s="652"/>
      <c r="C14" s="653"/>
      <c r="D14" s="654"/>
      <c r="E14" s="659"/>
      <c r="F14" s="664"/>
      <c r="G14" s="664"/>
      <c r="H14" s="629"/>
      <c r="I14" s="629"/>
      <c r="J14" s="629"/>
      <c r="K14" s="629"/>
      <c r="L14" s="630"/>
      <c r="M14" s="630"/>
      <c r="N14" s="630"/>
      <c r="O14" s="630"/>
      <c r="P14" s="630"/>
      <c r="Q14" s="630"/>
      <c r="R14" s="666"/>
      <c r="W14" s="667"/>
      <c r="X14" s="667"/>
      <c r="Y14" s="632"/>
    </row>
    <row r="15" spans="1:27">
      <c r="A15" s="658"/>
      <c r="B15" s="655"/>
      <c r="C15" s="653"/>
      <c r="D15" s="654"/>
      <c r="E15" s="659"/>
      <c r="F15" s="664"/>
      <c r="G15" s="664"/>
      <c r="H15" s="629"/>
      <c r="I15" s="629"/>
      <c r="J15" s="629"/>
      <c r="K15" s="629"/>
      <c r="L15" s="630"/>
      <c r="M15" s="630"/>
      <c r="N15" s="630"/>
      <c r="O15" s="630"/>
      <c r="P15" s="630"/>
      <c r="Q15" s="630"/>
      <c r="R15" s="668"/>
      <c r="S15" s="667"/>
      <c r="V15" s="667"/>
      <c r="W15" s="667"/>
      <c r="X15" s="667"/>
      <c r="Z15" s="667"/>
      <c r="AA15" s="667"/>
    </row>
    <row r="16" spans="1:27">
      <c r="A16" s="658"/>
      <c r="B16" s="659"/>
      <c r="C16" s="662"/>
      <c r="D16" s="669"/>
      <c r="E16" s="659"/>
      <c r="F16" s="664"/>
      <c r="G16" s="664"/>
      <c r="H16" s="629"/>
      <c r="I16" s="629"/>
      <c r="J16" s="629"/>
      <c r="K16" s="629"/>
      <c r="L16" s="630"/>
      <c r="M16" s="630"/>
      <c r="N16" s="630"/>
      <c r="O16" s="630"/>
      <c r="P16" s="630"/>
      <c r="Q16" s="630"/>
      <c r="R16" s="668"/>
      <c r="S16" s="667"/>
      <c r="V16" s="667"/>
      <c r="W16" s="667"/>
      <c r="X16" s="667"/>
      <c r="Z16" s="667"/>
      <c r="AA16" s="667"/>
    </row>
    <row r="17" spans="1:35">
      <c r="A17" s="651"/>
      <c r="B17" s="659"/>
      <c r="C17" s="670"/>
      <c r="D17" s="671"/>
      <c r="E17" s="659"/>
      <c r="F17" s="664"/>
      <c r="G17" s="664"/>
      <c r="H17" s="629"/>
      <c r="I17" s="629"/>
      <c r="J17" s="629"/>
      <c r="K17" s="629"/>
      <c r="L17" s="630"/>
      <c r="M17" s="630"/>
      <c r="N17" s="630"/>
      <c r="O17" s="630"/>
      <c r="P17" s="630"/>
      <c r="Q17" s="630"/>
      <c r="R17" s="668"/>
      <c r="S17" s="667"/>
      <c r="V17" s="667"/>
      <c r="W17" s="667"/>
      <c r="X17" s="667"/>
      <c r="Z17" s="667"/>
      <c r="AA17" s="667"/>
    </row>
    <row r="18" spans="1:35">
      <c r="A18" s="658"/>
      <c r="B18" s="659"/>
      <c r="C18" s="670"/>
      <c r="D18" s="671"/>
      <c r="E18" s="659"/>
      <c r="F18" s="664"/>
      <c r="G18" s="664"/>
      <c r="H18" s="629"/>
      <c r="I18" s="629"/>
      <c r="J18" s="629"/>
      <c r="K18" s="629"/>
      <c r="L18" s="630"/>
      <c r="M18" s="630"/>
      <c r="N18" s="630"/>
      <c r="O18" s="630"/>
      <c r="P18" s="630"/>
      <c r="Q18" s="630"/>
      <c r="R18" s="672"/>
      <c r="S18" s="632"/>
      <c r="V18" s="632"/>
      <c r="X18" s="673"/>
      <c r="Y18" s="674"/>
      <c r="Z18" s="675"/>
    </row>
    <row r="19" spans="1:35" ht="12" customHeight="1">
      <c r="A19" s="658"/>
      <c r="B19" s="659"/>
      <c r="C19" s="662"/>
      <c r="D19" s="669"/>
      <c r="E19" s="659"/>
      <c r="F19" s="664"/>
      <c r="G19" s="664"/>
      <c r="H19" s="629"/>
      <c r="I19" s="629"/>
      <c r="J19" s="629"/>
      <c r="K19" s="629"/>
      <c r="L19" s="630"/>
      <c r="M19" s="630"/>
      <c r="N19" s="630"/>
      <c r="O19" s="630"/>
      <c r="P19" s="630"/>
      <c r="Q19" s="630"/>
      <c r="R19" s="672"/>
      <c r="S19" s="632"/>
      <c r="V19" s="632"/>
      <c r="X19" s="673"/>
      <c r="Y19" s="674"/>
      <c r="AA19" s="676"/>
    </row>
    <row r="20" spans="1:35">
      <c r="A20" s="658"/>
      <c r="B20" s="659"/>
      <c r="C20" s="662"/>
      <c r="D20" s="669"/>
      <c r="E20" s="677"/>
      <c r="F20" s="678"/>
      <c r="G20" s="678"/>
      <c r="H20" s="629"/>
      <c r="I20" s="629"/>
      <c r="J20" s="629"/>
      <c r="K20" s="629"/>
      <c r="L20" s="630"/>
      <c r="M20" s="630"/>
      <c r="N20" s="630"/>
      <c r="O20" s="630"/>
      <c r="P20" s="630"/>
      <c r="Q20" s="630"/>
      <c r="R20" s="672"/>
      <c r="X20" s="679"/>
      <c r="Y20" s="679"/>
      <c r="AA20" s="676"/>
    </row>
    <row r="21" spans="1:35">
      <c r="A21" s="642"/>
      <c r="B21" s="680"/>
      <c r="C21" s="662"/>
      <c r="D21" s="669"/>
      <c r="E21" s="677"/>
      <c r="F21" s="678"/>
      <c r="G21" s="678"/>
      <c r="H21" s="629"/>
      <c r="I21" s="629"/>
      <c r="J21" s="629"/>
      <c r="K21" s="629"/>
      <c r="L21" s="630"/>
      <c r="M21" s="630"/>
      <c r="N21" s="630"/>
      <c r="O21" s="630"/>
      <c r="P21" s="630"/>
      <c r="Q21" s="630"/>
      <c r="R21" s="672"/>
      <c r="S21" s="632"/>
      <c r="V21" s="632"/>
      <c r="X21" s="673"/>
      <c r="Y21" s="673"/>
      <c r="Z21" s="681"/>
      <c r="AA21" s="676"/>
    </row>
    <row r="22" spans="1:35">
      <c r="A22" s="682"/>
      <c r="B22" s="659"/>
      <c r="C22" s="683"/>
      <c r="D22" s="684"/>
      <c r="E22" s="685"/>
      <c r="F22" s="686"/>
      <c r="G22" s="686"/>
      <c r="H22" s="629"/>
      <c r="I22" s="629"/>
      <c r="J22" s="629"/>
      <c r="K22" s="629"/>
      <c r="L22" s="630"/>
      <c r="M22" s="630"/>
      <c r="N22" s="630"/>
      <c r="O22" s="630"/>
      <c r="P22" s="630"/>
      <c r="Q22" s="630"/>
      <c r="R22" s="672"/>
      <c r="S22" s="632"/>
      <c r="V22" s="632"/>
      <c r="X22" s="673"/>
      <c r="Y22" s="673"/>
      <c r="AA22" s="676"/>
    </row>
    <row r="23" spans="1:35" ht="13.2" thickBot="1">
      <c r="A23" s="682"/>
      <c r="B23" s="659"/>
      <c r="C23" s="683"/>
      <c r="D23" s="684"/>
      <c r="E23" s="659"/>
      <c r="F23" s="664"/>
      <c r="G23" s="664"/>
      <c r="H23" s="629"/>
      <c r="I23" s="629"/>
      <c r="J23" s="629"/>
      <c r="K23" s="629"/>
      <c r="L23" s="630"/>
      <c r="M23" s="630"/>
      <c r="N23" s="630"/>
      <c r="O23" s="630"/>
      <c r="P23" s="630"/>
      <c r="Q23" s="630"/>
      <c r="R23" s="672"/>
      <c r="V23" s="632"/>
      <c r="X23" s="673"/>
      <c r="Y23" s="679"/>
      <c r="AA23" s="676"/>
    </row>
    <row r="24" spans="1:35" ht="13.8" thickTop="1" thickBot="1">
      <c r="A24" s="636"/>
      <c r="E24" s="635" t="s">
        <v>348</v>
      </c>
      <c r="F24" s="687">
        <f>SUM(F11:F23)</f>
        <v>5.9999999994033715E-3</v>
      </c>
      <c r="G24" s="687">
        <f>SUM(G11:G23)</f>
        <v>5.9999999994033715E-3</v>
      </c>
      <c r="H24" s="629"/>
      <c r="I24" s="629"/>
      <c r="J24" s="629"/>
      <c r="K24" s="629"/>
      <c r="L24" s="630"/>
      <c r="M24" s="630"/>
      <c r="N24" s="630"/>
      <c r="O24" s="630"/>
      <c r="P24" s="630"/>
      <c r="Q24" s="630"/>
      <c r="R24" s="672"/>
      <c r="X24" s="679"/>
      <c r="Y24" s="679"/>
      <c r="Z24" s="675"/>
      <c r="AA24" s="676"/>
    </row>
    <row r="25" spans="1:35" ht="13.2" thickTop="1">
      <c r="A25" s="636"/>
      <c r="B25" s="638" t="s">
        <v>349</v>
      </c>
      <c r="C25" s="629"/>
      <c r="D25" s="629"/>
      <c r="E25" s="629"/>
      <c r="F25" s="629"/>
      <c r="G25" s="629"/>
      <c r="H25" s="629"/>
      <c r="I25" s="629"/>
      <c r="J25" s="629"/>
      <c r="K25" s="629"/>
      <c r="L25" s="630"/>
      <c r="M25" s="630"/>
      <c r="N25" s="630"/>
      <c r="O25" s="630"/>
      <c r="P25" s="630"/>
      <c r="Q25" s="630"/>
      <c r="R25" s="672"/>
      <c r="S25" s="688"/>
      <c r="X25" s="679"/>
      <c r="Y25" s="679"/>
      <c r="AA25" s="676"/>
    </row>
    <row r="26" spans="1:35">
      <c r="A26" s="636"/>
      <c r="B26" s="689" t="s">
        <v>480</v>
      </c>
      <c r="C26" s="629"/>
      <c r="D26" s="629"/>
      <c r="E26" s="629"/>
      <c r="F26" s="629"/>
      <c r="G26" s="629"/>
      <c r="H26" s="629"/>
      <c r="I26" s="629"/>
      <c r="J26" s="629"/>
      <c r="K26" s="629"/>
      <c r="L26" s="630"/>
      <c r="M26" s="630"/>
      <c r="N26" s="630"/>
      <c r="O26" s="630"/>
      <c r="P26" s="630"/>
      <c r="Q26" s="630"/>
      <c r="R26" s="672"/>
      <c r="X26" s="679"/>
      <c r="Y26" s="679"/>
      <c r="AA26" s="676"/>
    </row>
    <row r="27" spans="1:35">
      <c r="A27" s="636"/>
      <c r="B27" s="689"/>
      <c r="D27" s="690"/>
      <c r="E27" s="691"/>
      <c r="F27" s="629"/>
      <c r="G27" s="629"/>
      <c r="H27" s="629"/>
      <c r="I27" s="629"/>
      <c r="J27" s="629"/>
      <c r="K27" s="629"/>
      <c r="L27" s="630"/>
      <c r="M27" s="630"/>
      <c r="N27" s="630"/>
      <c r="O27" s="630"/>
      <c r="P27" s="630"/>
      <c r="Q27" s="630"/>
      <c r="R27" s="672"/>
      <c r="X27" s="679"/>
      <c r="Y27" s="679"/>
      <c r="AA27" s="676"/>
    </row>
    <row r="28" spans="1:35">
      <c r="A28" s="636"/>
      <c r="B28" s="689"/>
      <c r="D28" s="628"/>
      <c r="E28" s="691"/>
      <c r="F28" s="629"/>
      <c r="G28" s="629"/>
      <c r="H28" s="629"/>
      <c r="I28" s="629"/>
      <c r="J28" s="629"/>
      <c r="K28" s="629"/>
      <c r="L28" s="630"/>
      <c r="M28" s="630"/>
      <c r="N28" s="630"/>
      <c r="O28" s="630"/>
      <c r="P28" s="630"/>
      <c r="Q28" s="630"/>
      <c r="R28" s="672"/>
      <c r="X28" s="679"/>
      <c r="Y28" s="679"/>
      <c r="AA28" s="676"/>
    </row>
    <row r="29" spans="1:35">
      <c r="A29" s="636"/>
      <c r="B29" s="692" t="s">
        <v>481</v>
      </c>
      <c r="C29" s="692" t="s">
        <v>537</v>
      </c>
      <c r="D29" s="700" t="s">
        <v>482</v>
      </c>
      <c r="E29" s="701" t="str">
        <f>IF(MID(Input!E29,17,4)="9443","74-1781","51-1734")</f>
        <v>51-1734</v>
      </c>
      <c r="F29" s="629"/>
      <c r="G29" s="629"/>
      <c r="H29" s="629"/>
      <c r="I29" s="629"/>
      <c r="J29" s="629"/>
      <c r="K29" s="629"/>
      <c r="L29" s="630"/>
      <c r="M29" s="630"/>
      <c r="N29" s="630"/>
      <c r="O29" s="630"/>
      <c r="P29" s="630"/>
      <c r="Q29" s="630"/>
      <c r="R29" s="672"/>
      <c r="X29" s="679"/>
      <c r="Y29" s="679"/>
      <c r="AA29" s="676"/>
    </row>
    <row r="30" spans="1:35">
      <c r="A30" s="636"/>
      <c r="E30" s="629"/>
      <c r="F30" s="629"/>
      <c r="G30" s="629"/>
      <c r="H30" s="629"/>
      <c r="I30" s="629"/>
      <c r="J30" s="629"/>
      <c r="K30" s="629"/>
      <c r="L30" s="630"/>
      <c r="M30" s="630"/>
      <c r="N30" s="630"/>
      <c r="O30" s="630"/>
      <c r="P30" s="630"/>
      <c r="Q30" s="630"/>
      <c r="R30" s="672"/>
      <c r="X30" s="679"/>
      <c r="Y30" s="679"/>
      <c r="AA30" s="676"/>
    </row>
    <row r="31" spans="1:35">
      <c r="A31" s="636"/>
      <c r="B31" s="693"/>
      <c r="D31" s="629"/>
      <c r="E31" s="629"/>
      <c r="F31" s="629"/>
      <c r="G31" s="635"/>
      <c r="H31" s="629"/>
      <c r="I31" s="629"/>
      <c r="J31" s="629"/>
      <c r="K31" s="629"/>
      <c r="L31" s="630"/>
      <c r="M31" s="630"/>
      <c r="N31" s="630"/>
      <c r="O31" s="630"/>
      <c r="P31" s="630"/>
      <c r="Q31" s="630"/>
      <c r="R31" s="630"/>
      <c r="S31" s="645"/>
      <c r="T31" s="667"/>
      <c r="Y31" s="679"/>
      <c r="AB31" s="667"/>
    </row>
    <row r="32" spans="1:35">
      <c r="A32" s="636"/>
      <c r="B32" s="641"/>
      <c r="C32" s="629"/>
      <c r="D32" s="629"/>
      <c r="E32" s="629"/>
      <c r="F32" s="629"/>
      <c r="G32" s="635" t="s">
        <v>11</v>
      </c>
      <c r="H32" s="629"/>
      <c r="I32" s="629"/>
      <c r="J32" s="629"/>
      <c r="K32" s="629"/>
      <c r="L32" s="630"/>
      <c r="M32" s="630"/>
      <c r="N32" s="630"/>
      <c r="O32" s="630"/>
      <c r="P32" s="630"/>
      <c r="Q32" s="630"/>
      <c r="R32" s="630"/>
      <c r="S32" s="679"/>
      <c r="AI32" s="667"/>
    </row>
    <row r="33" spans="1:35">
      <c r="A33" s="626"/>
      <c r="B33" s="694"/>
      <c r="C33" s="629"/>
      <c r="D33" s="629"/>
      <c r="E33" s="629"/>
      <c r="F33" s="629"/>
      <c r="G33" s="629"/>
      <c r="H33" s="629"/>
      <c r="I33" s="629"/>
      <c r="J33" s="629"/>
      <c r="K33" s="629"/>
      <c r="L33" s="630"/>
      <c r="M33" s="630"/>
      <c r="N33" s="630"/>
      <c r="O33" s="630"/>
      <c r="P33" s="630"/>
      <c r="Q33" s="630"/>
      <c r="R33" s="630"/>
      <c r="S33" s="679"/>
      <c r="T33" s="632"/>
      <c r="AI33" s="667"/>
    </row>
    <row r="34" spans="1:35">
      <c r="H34" s="629"/>
      <c r="I34" s="629"/>
      <c r="J34" s="629"/>
      <c r="K34" s="629"/>
      <c r="L34" s="630"/>
      <c r="M34" s="630"/>
      <c r="N34" s="630"/>
      <c r="O34" s="630"/>
      <c r="P34" s="630"/>
      <c r="Q34" s="630"/>
      <c r="R34" s="630"/>
      <c r="S34" s="679"/>
      <c r="AI34" s="667"/>
    </row>
    <row r="35" spans="1:35">
      <c r="H35" s="629"/>
      <c r="I35" s="629"/>
      <c r="J35" s="629"/>
      <c r="K35" s="629"/>
      <c r="L35" s="630"/>
      <c r="M35" s="630"/>
      <c r="N35" s="630"/>
      <c r="O35" s="630"/>
      <c r="P35" s="630"/>
      <c r="Q35" s="630"/>
      <c r="R35" s="630"/>
      <c r="S35" s="679"/>
      <c r="T35" s="632"/>
      <c r="AI35" s="667"/>
    </row>
    <row r="36" spans="1:35">
      <c r="A36" s="626"/>
      <c r="B36" s="629"/>
      <c r="C36" s="629"/>
      <c r="D36" s="629"/>
      <c r="E36" s="629"/>
      <c r="F36" s="629"/>
      <c r="G36" s="629"/>
      <c r="H36" s="629"/>
      <c r="I36" s="629"/>
      <c r="J36" s="629"/>
      <c r="K36" s="629"/>
      <c r="L36" s="630"/>
      <c r="M36" s="630"/>
      <c r="N36" s="630"/>
      <c r="O36" s="630"/>
      <c r="P36" s="630"/>
      <c r="Q36" s="630"/>
      <c r="R36" s="630"/>
      <c r="S36" s="679"/>
      <c r="AI36" s="667"/>
    </row>
    <row r="37" spans="1:35">
      <c r="A37" s="626"/>
      <c r="B37" s="629"/>
      <c r="C37" s="629"/>
      <c r="D37" s="629"/>
      <c r="E37" s="629"/>
      <c r="F37" s="629"/>
      <c r="G37" s="629"/>
      <c r="H37" s="629"/>
      <c r="I37" s="629"/>
      <c r="J37" s="629"/>
      <c r="K37" s="629"/>
      <c r="L37" s="630"/>
      <c r="M37" s="630"/>
      <c r="N37" s="630"/>
      <c r="O37" s="630"/>
      <c r="P37" s="630"/>
      <c r="Q37" s="630"/>
      <c r="R37" s="630"/>
      <c r="S37" s="679"/>
      <c r="AG37" s="667"/>
    </row>
    <row r="38" spans="1:35">
      <c r="A38" s="626"/>
      <c r="B38" s="629"/>
      <c r="C38" s="629"/>
      <c r="D38" s="629"/>
      <c r="E38" s="629"/>
      <c r="F38" s="629"/>
      <c r="G38" s="629"/>
      <c r="H38" s="629"/>
      <c r="I38" s="629"/>
      <c r="J38" s="629"/>
      <c r="K38" s="629"/>
      <c r="L38" s="630"/>
      <c r="M38" s="630"/>
      <c r="N38" s="630"/>
      <c r="O38" s="630"/>
      <c r="P38" s="630"/>
      <c r="Q38" s="630"/>
      <c r="R38" s="630"/>
      <c r="S38" s="679"/>
    </row>
    <row r="39" spans="1:35">
      <c r="A39" s="626"/>
      <c r="B39" s="629"/>
      <c r="C39" s="629"/>
      <c r="D39" s="629"/>
      <c r="E39" s="629"/>
      <c r="F39" s="629"/>
      <c r="G39" s="629"/>
      <c r="H39" s="629"/>
      <c r="I39" s="629"/>
      <c r="J39" s="629"/>
      <c r="K39" s="629"/>
      <c r="L39" s="630"/>
      <c r="M39" s="630"/>
      <c r="N39" s="630"/>
      <c r="O39" s="630"/>
      <c r="P39" s="630"/>
      <c r="Q39" s="630"/>
      <c r="R39" s="630"/>
      <c r="S39" s="679"/>
    </row>
    <row r="40" spans="1:35">
      <c r="A40" s="626"/>
      <c r="B40" s="629"/>
      <c r="C40" s="629"/>
      <c r="D40" s="629"/>
      <c r="E40" s="629"/>
      <c r="F40" s="629"/>
      <c r="G40" s="629"/>
      <c r="H40" s="629"/>
      <c r="I40" s="629"/>
      <c r="J40" s="629"/>
      <c r="K40" s="629"/>
      <c r="L40" s="630"/>
      <c r="M40" s="630"/>
      <c r="N40" s="630"/>
      <c r="O40" s="630"/>
      <c r="P40" s="630"/>
      <c r="Q40" s="630"/>
      <c r="R40" s="630"/>
      <c r="S40" s="667"/>
      <c r="AB40" s="667"/>
    </row>
    <row r="41" spans="1:35">
      <c r="A41" s="626"/>
      <c r="B41" s="629"/>
      <c r="C41" s="629"/>
      <c r="D41" s="629"/>
      <c r="E41" s="629"/>
      <c r="F41" s="629"/>
      <c r="G41" s="629"/>
      <c r="H41" s="629"/>
      <c r="I41" s="629"/>
      <c r="J41" s="629"/>
      <c r="K41" s="629"/>
      <c r="L41" s="630"/>
      <c r="M41" s="630"/>
      <c r="N41" s="630"/>
      <c r="O41" s="630"/>
      <c r="P41" s="630"/>
      <c r="Q41" s="630"/>
      <c r="R41" s="630"/>
      <c r="T41" s="667"/>
      <c r="U41" s="695"/>
      <c r="V41" s="667"/>
      <c r="W41" s="695"/>
      <c r="X41" s="695"/>
    </row>
    <row r="42" spans="1:35">
      <c r="A42" s="626"/>
      <c r="B42" s="629"/>
      <c r="C42" s="629"/>
      <c r="D42" s="629"/>
      <c r="E42" s="629"/>
      <c r="F42" s="629"/>
      <c r="G42" s="629"/>
      <c r="H42" s="629"/>
      <c r="I42" s="629"/>
      <c r="J42" s="629"/>
      <c r="K42" s="629"/>
      <c r="L42" s="630"/>
      <c r="M42" s="630"/>
      <c r="N42" s="630"/>
      <c r="O42" s="630"/>
      <c r="P42" s="630"/>
      <c r="Q42" s="630"/>
      <c r="R42" s="630"/>
    </row>
    <row r="43" spans="1:35">
      <c r="A43" s="626"/>
      <c r="B43" s="629"/>
      <c r="C43" s="629"/>
      <c r="D43" s="629"/>
      <c r="E43" s="629"/>
      <c r="F43" s="629"/>
      <c r="G43" s="629"/>
      <c r="H43" s="629"/>
      <c r="I43" s="629"/>
      <c r="J43" s="629"/>
      <c r="K43" s="629"/>
      <c r="L43" s="630"/>
      <c r="M43" s="630"/>
      <c r="N43" s="630"/>
      <c r="O43" s="630"/>
      <c r="P43" s="630"/>
      <c r="Q43" s="630"/>
      <c r="R43" s="630"/>
      <c r="T43" s="667"/>
      <c r="U43" s="695"/>
      <c r="V43" s="667"/>
      <c r="W43" s="695"/>
      <c r="X43" s="695"/>
    </row>
    <row r="44" spans="1:35">
      <c r="A44" s="696"/>
      <c r="B44" s="630"/>
      <c r="C44" s="630"/>
      <c r="D44" s="630"/>
      <c r="E44" s="630"/>
      <c r="F44" s="630"/>
      <c r="G44" s="630"/>
      <c r="H44" s="629"/>
      <c r="I44" s="629"/>
      <c r="J44" s="629"/>
      <c r="K44" s="629"/>
      <c r="L44" s="630"/>
      <c r="M44" s="630"/>
      <c r="N44" s="630"/>
      <c r="O44" s="630"/>
      <c r="P44" s="630"/>
      <c r="Q44" s="630"/>
      <c r="R44" s="630"/>
    </row>
    <row r="45" spans="1:35">
      <c r="A45" s="696"/>
      <c r="B45" s="630"/>
      <c r="C45" s="630"/>
      <c r="D45" s="630"/>
      <c r="E45" s="630"/>
      <c r="F45" s="630"/>
      <c r="G45" s="630"/>
      <c r="H45" s="629"/>
      <c r="I45" s="629"/>
      <c r="J45" s="629"/>
      <c r="K45" s="629"/>
      <c r="L45" s="630"/>
      <c r="M45" s="630"/>
      <c r="N45" s="630"/>
      <c r="O45" s="630"/>
      <c r="P45" s="630"/>
      <c r="Q45" s="630"/>
      <c r="R45" s="630"/>
      <c r="T45" s="667"/>
      <c r="U45" s="695"/>
      <c r="V45" s="667"/>
      <c r="W45" s="695"/>
      <c r="X45" s="695"/>
    </row>
    <row r="46" spans="1:35">
      <c r="A46" s="696"/>
      <c r="B46" s="630"/>
      <c r="C46" s="630"/>
      <c r="D46" s="630"/>
      <c r="E46" s="630"/>
      <c r="F46" s="630"/>
      <c r="G46" s="630"/>
      <c r="H46" s="629"/>
      <c r="I46" s="629"/>
      <c r="J46" s="629"/>
      <c r="K46" s="629"/>
      <c r="L46" s="630"/>
      <c r="M46" s="630"/>
      <c r="N46" s="630"/>
      <c r="O46" s="630"/>
      <c r="P46" s="630"/>
      <c r="Q46" s="630"/>
      <c r="R46" s="630"/>
      <c r="X46" s="632"/>
    </row>
    <row r="47" spans="1:35">
      <c r="A47" s="696"/>
      <c r="B47" s="630"/>
      <c r="C47" s="630"/>
      <c r="D47" s="630"/>
      <c r="E47" s="630"/>
      <c r="F47" s="630"/>
      <c r="G47" s="630"/>
      <c r="H47" s="629"/>
      <c r="I47" s="629"/>
      <c r="J47" s="629"/>
      <c r="K47" s="629"/>
      <c r="L47" s="630"/>
      <c r="M47" s="630"/>
      <c r="N47" s="630"/>
      <c r="O47" s="630"/>
      <c r="P47" s="630"/>
      <c r="Q47" s="630"/>
      <c r="R47" s="630"/>
      <c r="T47" s="667"/>
      <c r="U47" s="695"/>
      <c r="V47" s="667"/>
    </row>
    <row r="48" spans="1:35">
      <c r="A48" s="696"/>
      <c r="B48" s="630"/>
      <c r="C48" s="630"/>
      <c r="D48" s="630"/>
      <c r="E48" s="630"/>
      <c r="F48" s="630"/>
      <c r="G48" s="630"/>
      <c r="H48" s="629"/>
      <c r="I48" s="629"/>
      <c r="J48" s="629"/>
      <c r="K48" s="629"/>
      <c r="L48" s="630"/>
      <c r="M48" s="630"/>
      <c r="N48" s="630"/>
      <c r="O48" s="630"/>
      <c r="P48" s="630"/>
      <c r="Q48" s="630"/>
      <c r="R48" s="630"/>
    </row>
    <row r="49" spans="1:22" ht="15.6">
      <c r="A49" s="697"/>
      <c r="B49" s="698"/>
      <c r="C49" s="698"/>
      <c r="D49" s="698"/>
      <c r="E49" s="698"/>
      <c r="F49" s="698"/>
      <c r="G49" s="698"/>
      <c r="H49" s="629"/>
      <c r="I49" s="629"/>
      <c r="J49" s="629"/>
      <c r="K49" s="629"/>
      <c r="L49" s="630"/>
      <c r="M49" s="630"/>
      <c r="N49" s="630"/>
      <c r="O49" s="630"/>
      <c r="P49" s="630"/>
      <c r="Q49" s="630"/>
      <c r="R49" s="630"/>
      <c r="V49" s="667"/>
    </row>
    <row r="50" spans="1:22" ht="15.6">
      <c r="A50" s="697"/>
      <c r="B50" s="698"/>
      <c r="C50" s="698"/>
      <c r="D50" s="698"/>
      <c r="E50" s="698"/>
      <c r="F50" s="698"/>
      <c r="G50" s="698"/>
      <c r="H50" s="630"/>
      <c r="I50" s="630"/>
      <c r="J50" s="630"/>
      <c r="K50" s="630"/>
      <c r="L50" s="630"/>
      <c r="M50" s="630"/>
      <c r="N50" s="630"/>
      <c r="O50" s="630"/>
      <c r="P50" s="630"/>
      <c r="Q50" s="630"/>
      <c r="R50" s="630"/>
    </row>
    <row r="51" spans="1:22" ht="15.6">
      <c r="A51" s="697"/>
      <c r="B51" s="698"/>
      <c r="C51" s="698"/>
      <c r="D51" s="698"/>
      <c r="E51" s="698"/>
      <c r="F51" s="698"/>
      <c r="G51" s="698"/>
      <c r="H51" s="630"/>
      <c r="I51" s="630"/>
      <c r="J51" s="630"/>
      <c r="K51" s="630"/>
      <c r="L51" s="630"/>
      <c r="M51" s="630"/>
      <c r="N51" s="630"/>
      <c r="O51" s="630"/>
      <c r="P51" s="630"/>
      <c r="Q51" s="630"/>
      <c r="R51" s="630"/>
    </row>
    <row r="52" spans="1:22" ht="15.6">
      <c r="A52" s="697"/>
      <c r="B52" s="698"/>
      <c r="C52" s="698"/>
      <c r="D52" s="698"/>
      <c r="E52" s="698"/>
      <c r="F52" s="698"/>
      <c r="G52" s="698"/>
      <c r="H52" s="630"/>
      <c r="I52" s="630"/>
      <c r="J52" s="630"/>
      <c r="K52" s="630"/>
      <c r="L52" s="630"/>
      <c r="M52" s="630"/>
      <c r="N52" s="630"/>
      <c r="O52" s="630"/>
      <c r="P52" s="630"/>
      <c r="Q52" s="630"/>
      <c r="R52" s="630"/>
    </row>
    <row r="53" spans="1:22" ht="15.6">
      <c r="A53" s="697"/>
      <c r="B53" s="698"/>
      <c r="C53" s="698"/>
      <c r="D53" s="698"/>
      <c r="E53" s="698"/>
      <c r="F53" s="698"/>
      <c r="G53" s="698"/>
      <c r="H53" s="630"/>
      <c r="I53" s="630"/>
      <c r="J53" s="630"/>
      <c r="K53" s="630"/>
      <c r="L53" s="630"/>
      <c r="M53" s="630"/>
      <c r="N53" s="630"/>
      <c r="O53" s="630"/>
      <c r="P53" s="630"/>
      <c r="Q53" s="630"/>
      <c r="R53" s="630"/>
    </row>
    <row r="54" spans="1:22">
      <c r="H54" s="630"/>
      <c r="I54" s="630"/>
      <c r="J54" s="630"/>
      <c r="K54" s="630"/>
      <c r="L54" s="630"/>
      <c r="M54" s="630"/>
      <c r="N54" s="630"/>
      <c r="O54" s="630"/>
      <c r="P54" s="630"/>
      <c r="Q54" s="630"/>
      <c r="R54" s="630"/>
    </row>
    <row r="55" spans="1:22" ht="15.6">
      <c r="H55" s="698"/>
      <c r="I55" s="698"/>
      <c r="J55" s="698"/>
    </row>
    <row r="56" spans="1:22" ht="15.6">
      <c r="H56" s="698"/>
      <c r="I56" s="698"/>
      <c r="J56" s="698"/>
    </row>
    <row r="57" spans="1:22" ht="15.6">
      <c r="H57" s="698"/>
      <c r="I57" s="698"/>
      <c r="J57" s="698"/>
    </row>
    <row r="58" spans="1:22" ht="15.6">
      <c r="H58" s="698"/>
      <c r="I58" s="698"/>
      <c r="J58" s="698"/>
    </row>
    <row r="59" spans="1:22" ht="15.6">
      <c r="H59" s="698"/>
      <c r="I59" s="698"/>
      <c r="J59" s="698"/>
    </row>
    <row r="104" spans="43:43">
      <c r="AQ104" s="632" t="s">
        <v>351</v>
      </c>
    </row>
    <row r="105" spans="43:43">
      <c r="AQ105" s="632" t="s">
        <v>352</v>
      </c>
    </row>
    <row r="108" spans="43:43">
      <c r="AQ108" s="632" t="s">
        <v>353</v>
      </c>
    </row>
    <row r="110" spans="43:43">
      <c r="AQ110" s="632" t="s">
        <v>354</v>
      </c>
    </row>
    <row r="112" spans="43:43">
      <c r="AQ112" s="632" t="s">
        <v>11</v>
      </c>
    </row>
    <row r="113" spans="43:43">
      <c r="AQ113" s="699" t="s">
        <v>355</v>
      </c>
    </row>
    <row r="115" spans="43:43">
      <c r="AQ115" s="632" t="s">
        <v>356</v>
      </c>
    </row>
  </sheetData>
  <printOptions horizontalCentered="1" verticalCentered="1" gridLinesSet="0"/>
  <pageMargins left="0.5" right="0.5" top="1.25" bottom="0.25" header="0.75" footer="0.5"/>
  <pageSetup fitToWidth="2" orientation="landscape" horizontalDpi="1200" verticalDpi="1200" r:id="rId1"/>
  <headerFooter alignWithMargins="0">
    <oddHeader>&amp;C                                                                                                        JV Date and Number
&amp;16UNIVERSITY OF WASHINGTON
JOURNAL VOUCHER</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syncVertical="1" syncRef="A1" transitionEvaluation="1" transitionEntry="1">
    <pageSetUpPr fitToPage="1"/>
  </sheetPr>
  <dimension ref="A1:AR118"/>
  <sheetViews>
    <sheetView showGridLines="0" showZeros="0" zoomScale="80" zoomScaleNormal="80" workbookViewId="0">
      <selection activeCell="B24" sqref="B24"/>
    </sheetView>
  </sheetViews>
  <sheetFormatPr defaultColWidth="6.83203125" defaultRowHeight="13.8"/>
  <cols>
    <col min="1" max="1" width="3.5" style="289" customWidth="1"/>
    <col min="2" max="2" width="17.08203125" style="249" customWidth="1"/>
    <col min="3" max="3" width="10.58203125" style="249" customWidth="1"/>
    <col min="4" max="4" width="8.1640625" style="249" customWidth="1"/>
    <col min="5" max="5" width="9.4140625" style="249" customWidth="1"/>
    <col min="6" max="6" width="12.4140625" style="249" customWidth="1"/>
    <col min="7" max="7" width="11.6640625" style="249" customWidth="1"/>
    <col min="8" max="8" width="1.4140625" style="249" customWidth="1"/>
    <col min="9" max="12" width="6.83203125" style="249"/>
    <col min="13" max="13" width="6.83203125" style="249" customWidth="1"/>
    <col min="14" max="18" width="6.83203125" style="249"/>
    <col min="19" max="20" width="3.33203125" style="249" customWidth="1"/>
    <col min="21" max="22" width="6.83203125" style="249" customWidth="1"/>
    <col min="23" max="23" width="5.4140625" style="249" customWidth="1"/>
    <col min="24" max="24" width="2.58203125" style="249" customWidth="1"/>
    <col min="25" max="25" width="4.6640625" style="249" customWidth="1"/>
    <col min="26" max="26" width="6.83203125" style="249"/>
    <col min="27" max="28" width="11.6640625" style="249" customWidth="1"/>
    <col min="29" max="29" width="6.83203125" style="249"/>
    <col min="30" max="30" width="4" style="249" customWidth="1"/>
    <col min="31" max="16384" width="6.83203125" style="249"/>
  </cols>
  <sheetData>
    <row r="1" spans="1:27">
      <c r="A1" s="246"/>
      <c r="B1" s="247"/>
      <c r="C1" s="247"/>
      <c r="D1" s="247"/>
      <c r="E1" s="247"/>
      <c r="F1" s="247"/>
      <c r="G1" s="248" t="s">
        <v>335</v>
      </c>
      <c r="H1" s="247"/>
      <c r="I1" s="247"/>
      <c r="J1" s="247"/>
      <c r="K1" s="247"/>
      <c r="L1" s="247"/>
    </row>
    <row r="2" spans="1:27">
      <c r="A2" s="250" t="s">
        <v>336</v>
      </c>
      <c r="B2" s="250"/>
      <c r="C2" s="250"/>
      <c r="D2" s="250"/>
      <c r="E2" s="250"/>
      <c r="F2" s="250"/>
      <c r="G2" s="250"/>
      <c r="H2" s="250"/>
      <c r="I2" s="247"/>
      <c r="J2" s="247"/>
      <c r="K2" s="247"/>
      <c r="L2" s="247"/>
    </row>
    <row r="3" spans="1:27">
      <c r="A3" s="250" t="s">
        <v>337</v>
      </c>
      <c r="B3" s="250"/>
      <c r="C3" s="250"/>
      <c r="D3" s="250"/>
      <c r="E3" s="250"/>
      <c r="F3" s="250"/>
      <c r="G3" s="250"/>
      <c r="H3" s="250"/>
      <c r="I3" s="247"/>
      <c r="J3" s="247"/>
      <c r="K3" s="247"/>
      <c r="L3" s="247"/>
    </row>
    <row r="4" spans="1:27">
      <c r="A4" s="246"/>
      <c r="B4" s="247"/>
      <c r="C4" s="247"/>
      <c r="D4" s="247"/>
      <c r="E4" s="247"/>
      <c r="F4" s="247"/>
      <c r="G4" s="248"/>
      <c r="H4" s="247"/>
      <c r="I4" s="247"/>
      <c r="J4" s="247"/>
      <c r="K4" s="247"/>
      <c r="L4" s="247"/>
    </row>
    <row r="5" spans="1:27">
      <c r="A5" s="246"/>
      <c r="B5" s="247"/>
      <c r="C5" s="246" t="s">
        <v>338</v>
      </c>
      <c r="D5" s="251">
        <f ca="1">NOW()</f>
        <v>42849.430286689814</v>
      </c>
      <c r="F5" s="247"/>
      <c r="G5" s="247"/>
      <c r="H5" s="247"/>
      <c r="I5" s="247"/>
      <c r="J5" s="247"/>
      <c r="K5" s="247"/>
      <c r="L5" s="247"/>
      <c r="T5" s="252"/>
      <c r="V5" s="253"/>
      <c r="W5" s="254"/>
      <c r="X5" s="254"/>
      <c r="Y5" s="254"/>
      <c r="AA5" s="253"/>
    </row>
    <row r="6" spans="1:27">
      <c r="A6" s="246"/>
      <c r="B6" s="247"/>
      <c r="C6" s="246" t="s">
        <v>160</v>
      </c>
      <c r="D6" s="255" t="str">
        <f>Input!D2</f>
        <v>Marlyn Del Cid</v>
      </c>
      <c r="E6" s="256"/>
      <c r="F6" s="247"/>
      <c r="G6" s="247"/>
      <c r="H6" s="247"/>
      <c r="I6" s="247"/>
      <c r="J6" s="247"/>
      <c r="K6" s="247"/>
      <c r="L6" s="247"/>
      <c r="T6" s="257"/>
      <c r="U6" s="258"/>
      <c r="V6" s="258"/>
      <c r="AA6" s="259"/>
    </row>
    <row r="7" spans="1:27">
      <c r="A7" s="246"/>
      <c r="B7" s="247"/>
      <c r="C7" s="247"/>
      <c r="D7" s="247"/>
      <c r="E7" s="247"/>
      <c r="F7" s="247"/>
      <c r="G7" s="612"/>
      <c r="H7" s="247"/>
      <c r="I7" s="247"/>
      <c r="J7" s="247"/>
      <c r="K7" s="247"/>
      <c r="L7" s="247"/>
      <c r="T7" s="257"/>
    </row>
    <row r="8" spans="1:27">
      <c r="A8" s="246"/>
      <c r="B8" s="260"/>
      <c r="C8" s="247"/>
      <c r="D8" s="247"/>
      <c r="E8" s="248" t="s">
        <v>340</v>
      </c>
      <c r="F8" s="247"/>
      <c r="G8" s="612"/>
      <c r="H8" s="247"/>
      <c r="I8" s="247"/>
      <c r="J8" s="247"/>
      <c r="K8" s="247"/>
      <c r="L8" s="247"/>
      <c r="T8" s="257"/>
    </row>
    <row r="9" spans="1:27">
      <c r="A9" s="246"/>
      <c r="B9" s="260"/>
      <c r="C9" s="247"/>
      <c r="D9" s="247"/>
      <c r="E9" s="261" t="s">
        <v>11</v>
      </c>
      <c r="F9" s="262"/>
      <c r="G9" s="41"/>
      <c r="H9" s="247"/>
      <c r="I9" s="247"/>
      <c r="J9" s="247"/>
      <c r="K9" s="247"/>
      <c r="L9" s="247"/>
    </row>
    <row r="10" spans="1:27">
      <c r="A10" s="246"/>
      <c r="B10" s="263" t="s">
        <v>11</v>
      </c>
      <c r="C10" s="247"/>
      <c r="D10" s="247"/>
      <c r="E10" s="263" t="str">
        <f>Input!D3</f>
        <v>Matthew L Gardner</v>
      </c>
      <c r="F10" s="247"/>
      <c r="G10" s="248" t="s">
        <v>11</v>
      </c>
      <c r="H10" s="247"/>
      <c r="I10" s="247"/>
      <c r="J10" s="247"/>
      <c r="K10" s="247"/>
      <c r="L10" s="247"/>
    </row>
    <row r="11" spans="1:27" ht="12.9" customHeight="1">
      <c r="A11" s="246"/>
      <c r="B11" s="247"/>
      <c r="C11" s="247"/>
      <c r="D11" s="247"/>
      <c r="E11" s="247"/>
      <c r="F11" s="263" t="str">
        <f>IF(W53=" "," ",REPT(" ",0)&amp;+W53)</f>
        <v xml:space="preserve"> </v>
      </c>
      <c r="G11" s="248" t="s">
        <v>11</v>
      </c>
      <c r="H11" s="247"/>
      <c r="I11" s="247"/>
      <c r="J11" s="247"/>
      <c r="K11" s="247"/>
      <c r="L11" s="247"/>
    </row>
    <row r="12" spans="1:27" ht="12.75" customHeight="1">
      <c r="A12" s="246"/>
      <c r="B12" s="247"/>
      <c r="C12" s="247"/>
      <c r="D12" s="247"/>
      <c r="E12" s="248" t="s">
        <v>11</v>
      </c>
      <c r="F12" s="247"/>
      <c r="G12" s="247"/>
      <c r="H12" s="247"/>
    </row>
    <row r="13" spans="1:27" ht="12.75" customHeight="1">
      <c r="A13" s="264"/>
      <c r="B13" s="593" t="s">
        <v>260</v>
      </c>
      <c r="C13" s="593" t="s">
        <v>342</v>
      </c>
      <c r="D13" s="593" t="s">
        <v>343</v>
      </c>
      <c r="E13" s="593" t="s">
        <v>344</v>
      </c>
      <c r="F13" s="594" t="s">
        <v>345</v>
      </c>
      <c r="G13" s="595" t="s">
        <v>346</v>
      </c>
      <c r="H13" s="265" t="s">
        <v>11</v>
      </c>
      <c r="I13" s="716" t="s">
        <v>511</v>
      </c>
      <c r="J13" s="716"/>
      <c r="K13" s="716"/>
      <c r="L13" s="717"/>
      <c r="M13" s="718"/>
      <c r="T13" s="252"/>
      <c r="V13" s="266"/>
      <c r="W13" s="266"/>
    </row>
    <row r="14" spans="1:27" ht="12.9" customHeight="1">
      <c r="A14" s="264"/>
      <c r="B14" s="596"/>
      <c r="C14" s="597"/>
      <c r="D14" s="598"/>
      <c r="E14" s="599"/>
      <c r="F14" s="599"/>
      <c r="G14" s="599"/>
      <c r="H14" s="265" t="s">
        <v>11</v>
      </c>
      <c r="I14" s="719"/>
      <c r="J14" s="719"/>
      <c r="K14" s="719"/>
      <c r="L14" s="720"/>
      <c r="M14" s="721"/>
      <c r="V14" s="258"/>
    </row>
    <row r="15" spans="1:27" ht="12.75" customHeight="1">
      <c r="A15" s="267"/>
      <c r="B15" s="600" t="str">
        <f>"TO CLOSE "&amp;Input!D16&amp;" "</f>
        <v xml:space="preserve">TO CLOSE 62-7032 </v>
      </c>
      <c r="C15" s="244">
        <f>IF(Reconciliation!H25&gt;0,Input!D16,511734)</f>
        <v>511734</v>
      </c>
      <c r="D15" s="601" t="str">
        <f>IF(Reconciliation!H25&gt;0,"25-99-00",MID(Input!E29,17,8))</f>
        <v xml:space="preserve"> 9313-01</v>
      </c>
      <c r="E15" s="600"/>
      <c r="F15" s="602">
        <f>ABS(Reconciliation!E36)</f>
        <v>0</v>
      </c>
      <c r="G15" s="602"/>
      <c r="H15" s="268"/>
      <c r="I15" s="713" t="s">
        <v>512</v>
      </c>
      <c r="J15" s="713"/>
      <c r="K15" s="713"/>
      <c r="L15" s="714"/>
      <c r="M15" s="715"/>
      <c r="T15" s="252"/>
      <c r="V15" s="258"/>
    </row>
    <row r="16" spans="1:27" ht="12.75" customHeight="1">
      <c r="A16" s="269"/>
      <c r="B16" s="600" t="str">
        <f>B15</f>
        <v xml:space="preserve">TO CLOSE 62-7032 </v>
      </c>
      <c r="C16" s="244" t="str">
        <f>IF(Reconciliation!H25&gt;0,511734,Input!D16)</f>
        <v>62-7032</v>
      </c>
      <c r="D16" s="601" t="str">
        <f>IF(Reconciliation!H25&gt;0,MID(Input!E29,17,8),"25-99-00")</f>
        <v>25-99-00</v>
      </c>
      <c r="E16" s="600"/>
      <c r="F16" s="602"/>
      <c r="G16" s="602">
        <f>F15</f>
        <v>0</v>
      </c>
      <c r="H16" s="268"/>
      <c r="I16" s="713" t="s">
        <v>513</v>
      </c>
      <c r="J16" s="713"/>
      <c r="K16" s="713"/>
      <c r="L16" s="714"/>
      <c r="M16" s="715"/>
    </row>
    <row r="17" spans="1:28" ht="12.9" customHeight="1">
      <c r="A17" s="269"/>
      <c r="B17" s="603"/>
      <c r="C17" s="604"/>
      <c r="D17" s="605"/>
      <c r="E17" s="603"/>
      <c r="F17" s="606"/>
      <c r="G17" s="606"/>
      <c r="H17" s="268"/>
      <c r="T17" s="252"/>
      <c r="V17" s="258"/>
    </row>
    <row r="18" spans="1:28" ht="12.9" customHeight="1">
      <c r="A18" s="241"/>
      <c r="B18" s="596"/>
      <c r="C18" s="596"/>
      <c r="D18" s="596"/>
      <c r="E18" s="596"/>
      <c r="F18" s="596"/>
      <c r="G18" s="596"/>
      <c r="H18" s="265" t="s">
        <v>11</v>
      </c>
      <c r="S18" s="253"/>
      <c r="X18" s="253"/>
      <c r="Y18" s="253"/>
      <c r="Z18" s="258"/>
    </row>
    <row r="19" spans="1:28" ht="12.9" customHeight="1">
      <c r="A19" s="242"/>
      <c r="B19" s="596"/>
      <c r="C19" s="596"/>
      <c r="D19" s="596"/>
      <c r="E19" s="596"/>
      <c r="F19" s="596"/>
      <c r="G19" s="596"/>
      <c r="H19" s="268"/>
      <c r="I19" s="247"/>
      <c r="J19" s="247"/>
      <c r="K19" s="247"/>
      <c r="L19" s="247"/>
      <c r="S19" s="273"/>
      <c r="T19" s="253"/>
      <c r="W19" s="253"/>
      <c r="X19" s="253"/>
      <c r="Y19" s="253"/>
      <c r="AA19" s="253"/>
      <c r="AB19" s="253"/>
    </row>
    <row r="20" spans="1:28" ht="12.9" customHeight="1">
      <c r="A20" s="269"/>
      <c r="B20" s="603"/>
      <c r="C20" s="604"/>
      <c r="D20" s="607"/>
      <c r="E20" s="603"/>
      <c r="F20" s="606"/>
      <c r="G20" s="606"/>
      <c r="H20" s="268"/>
      <c r="I20" s="247"/>
      <c r="J20" s="247"/>
      <c r="K20" s="247"/>
      <c r="L20" s="247"/>
      <c r="S20" s="273"/>
      <c r="T20" s="253"/>
      <c r="W20" s="253"/>
      <c r="X20" s="253"/>
      <c r="Y20" s="253"/>
      <c r="AA20" s="253"/>
      <c r="AB20" s="253"/>
    </row>
    <row r="21" spans="1:28" ht="12.9" customHeight="1">
      <c r="A21" s="267"/>
      <c r="B21" s="603"/>
      <c r="C21" s="608"/>
      <c r="D21" s="609"/>
      <c r="E21" s="603"/>
      <c r="F21" s="606"/>
      <c r="G21" s="606"/>
      <c r="H21" s="268"/>
      <c r="I21" s="247"/>
      <c r="J21" s="247"/>
      <c r="K21" s="247"/>
      <c r="L21" s="247"/>
      <c r="S21" s="273"/>
      <c r="T21" s="253"/>
      <c r="W21" s="253"/>
      <c r="X21" s="253"/>
      <c r="Y21" s="253"/>
      <c r="AA21" s="253"/>
      <c r="AB21" s="253"/>
    </row>
    <row r="22" spans="1:28" ht="12.9" customHeight="1">
      <c r="A22" s="269"/>
      <c r="B22" s="603"/>
      <c r="C22" s="604"/>
      <c r="D22" s="609"/>
      <c r="E22" s="603"/>
      <c r="F22" s="606"/>
      <c r="G22" s="606"/>
      <c r="H22" s="265" t="s">
        <v>11</v>
      </c>
      <c r="I22" s="247"/>
      <c r="J22" s="247"/>
      <c r="K22" s="247"/>
      <c r="L22" s="247"/>
      <c r="S22" s="274"/>
      <c r="T22" s="258"/>
      <c r="W22" s="258"/>
      <c r="Y22" s="275"/>
      <c r="Z22" s="276"/>
      <c r="AA22" s="277"/>
    </row>
    <row r="23" spans="1:28" ht="12.9" customHeight="1">
      <c r="A23" s="269"/>
      <c r="B23" s="603"/>
      <c r="C23" s="604"/>
      <c r="D23" s="607"/>
      <c r="E23" s="603"/>
      <c r="F23" s="606"/>
      <c r="G23" s="606"/>
      <c r="H23" s="265" t="s">
        <v>11</v>
      </c>
      <c r="I23" s="247"/>
      <c r="J23" s="247"/>
      <c r="K23" s="247"/>
      <c r="L23" s="247"/>
      <c r="S23" s="274"/>
      <c r="T23" s="258"/>
      <c r="W23" s="258"/>
      <c r="Y23" s="275"/>
      <c r="Z23" s="276"/>
      <c r="AB23" s="278"/>
    </row>
    <row r="24" spans="1:28" ht="12.9" customHeight="1">
      <c r="A24" s="269"/>
      <c r="B24" s="603"/>
      <c r="C24" s="604"/>
      <c r="D24" s="607"/>
      <c r="E24" s="596"/>
      <c r="F24" s="596"/>
      <c r="G24" s="596"/>
      <c r="H24" s="265" t="s">
        <v>11</v>
      </c>
      <c r="I24" s="247"/>
      <c r="J24" s="247"/>
      <c r="K24" s="247"/>
      <c r="L24" s="247"/>
      <c r="S24" s="274"/>
      <c r="Y24" s="279"/>
      <c r="Z24" s="279"/>
      <c r="AB24" s="278"/>
    </row>
    <row r="25" spans="1:28" ht="12.9" customHeight="1">
      <c r="A25" s="264"/>
      <c r="B25" s="610"/>
      <c r="C25" s="604"/>
      <c r="D25" s="607"/>
      <c r="E25" s="596"/>
      <c r="F25" s="596"/>
      <c r="G25" s="596"/>
      <c r="H25" s="265" t="s">
        <v>11</v>
      </c>
      <c r="I25" s="247"/>
      <c r="J25" s="247"/>
      <c r="K25" s="247"/>
      <c r="L25" s="247"/>
      <c r="S25" s="274"/>
      <c r="T25" s="258"/>
      <c r="W25" s="258"/>
      <c r="Y25" s="275"/>
      <c r="Z25" s="275"/>
      <c r="AA25" s="280"/>
      <c r="AB25" s="278"/>
    </row>
    <row r="26" spans="1:28" ht="12.9" customHeight="1">
      <c r="A26" s="281"/>
      <c r="B26" s="603"/>
      <c r="C26" s="597"/>
      <c r="D26" s="611"/>
      <c r="E26" s="599"/>
      <c r="F26" s="599"/>
      <c r="G26" s="599"/>
      <c r="H26" s="265" t="s">
        <v>11</v>
      </c>
      <c r="I26" s="247"/>
      <c r="J26" s="247"/>
      <c r="K26" s="247"/>
      <c r="L26" s="247"/>
      <c r="S26" s="274"/>
      <c r="T26" s="258"/>
      <c r="W26" s="258"/>
      <c r="Y26" s="275"/>
      <c r="Z26" s="275"/>
      <c r="AB26" s="278"/>
    </row>
    <row r="27" spans="1:28" ht="12.9" customHeight="1" thickBot="1">
      <c r="A27" s="281"/>
      <c r="B27" s="270"/>
      <c r="C27" s="282"/>
      <c r="D27" s="283"/>
      <c r="E27" s="270"/>
      <c r="F27" s="271"/>
      <c r="G27" s="272"/>
      <c r="H27" s="265" t="s">
        <v>11</v>
      </c>
      <c r="I27" s="247"/>
      <c r="J27" s="247"/>
      <c r="K27" s="247"/>
      <c r="L27" s="247"/>
      <c r="S27" s="274"/>
      <c r="W27" s="258"/>
      <c r="Y27" s="275"/>
      <c r="Z27" s="279"/>
      <c r="AB27" s="278"/>
    </row>
    <row r="28" spans="1:28" ht="15" thickTop="1" thickBot="1">
      <c r="A28" s="260"/>
      <c r="E28" s="248" t="s">
        <v>348</v>
      </c>
      <c r="F28" s="245">
        <f>SUM(F15:F27)</f>
        <v>0</v>
      </c>
      <c r="G28" s="245">
        <f>SUM(G15:G27)</f>
        <v>0</v>
      </c>
      <c r="H28" s="265" t="s">
        <v>11</v>
      </c>
      <c r="I28" s="247"/>
      <c r="J28" s="247"/>
      <c r="K28" s="247"/>
      <c r="L28" s="247"/>
      <c r="S28" s="274"/>
      <c r="Y28" s="279"/>
      <c r="Z28" s="279"/>
      <c r="AA28" s="277"/>
      <c r="AB28" s="278"/>
    </row>
    <row r="29" spans="1:28" ht="14.4" thickTop="1">
      <c r="A29" s="260"/>
      <c r="B29" s="261" t="s">
        <v>349</v>
      </c>
      <c r="C29" s="247"/>
      <c r="D29" s="247"/>
      <c r="E29" s="247"/>
      <c r="F29" s="247"/>
      <c r="G29" s="247"/>
      <c r="H29" s="248" t="s">
        <v>11</v>
      </c>
      <c r="I29" s="247"/>
      <c r="J29" s="247"/>
      <c r="K29" s="247"/>
      <c r="L29" s="247"/>
      <c r="S29" s="274"/>
      <c r="T29" s="284"/>
      <c r="Y29" s="279"/>
      <c r="Z29" s="279"/>
      <c r="AB29" s="278"/>
    </row>
    <row r="30" spans="1:28">
      <c r="A30" s="260"/>
      <c r="B30" s="247"/>
      <c r="D30" s="286"/>
      <c r="E30" s="287"/>
      <c r="F30" s="247"/>
      <c r="G30" s="247"/>
      <c r="H30" s="248"/>
      <c r="I30" s="247"/>
      <c r="J30" s="247"/>
      <c r="K30" s="247"/>
      <c r="L30" s="247"/>
      <c r="S30" s="274"/>
      <c r="Y30" s="279"/>
      <c r="Z30" s="279"/>
      <c r="AB30" s="278"/>
    </row>
    <row r="31" spans="1:28">
      <c r="A31" s="260"/>
      <c r="B31" s="240" t="str">
        <f>"TO ROUND EXPENDITURES TO EVEN DOLLARS IN ORDER TO CLOSE BUDGET "&amp;Input!D16&amp;""</f>
        <v>TO ROUND EXPENDITURES TO EVEN DOLLARS IN ORDER TO CLOSE BUDGET 62-7032</v>
      </c>
      <c r="D31" s="286"/>
      <c r="E31" s="287"/>
      <c r="F31" s="247"/>
      <c r="G31" s="247"/>
      <c r="H31" s="248"/>
      <c r="I31" s="247"/>
      <c r="J31" s="247"/>
      <c r="K31" s="247"/>
      <c r="L31" s="247"/>
      <c r="S31" s="274"/>
      <c r="Y31" s="279"/>
      <c r="Z31" s="279"/>
      <c r="AB31" s="278"/>
    </row>
    <row r="32" spans="1:28">
      <c r="A32" s="260"/>
      <c r="D32" s="286"/>
      <c r="E32" s="287"/>
      <c r="F32" s="247"/>
      <c r="G32" s="247"/>
      <c r="H32" s="248" t="s">
        <v>11</v>
      </c>
      <c r="I32" s="247"/>
      <c r="J32" s="247"/>
      <c r="K32" s="247"/>
      <c r="L32" s="247"/>
      <c r="S32" s="274"/>
      <c r="Y32" s="279"/>
      <c r="Z32" s="279"/>
      <c r="AB32" s="278"/>
    </row>
    <row r="33" spans="1:36">
      <c r="A33" s="260"/>
      <c r="E33" s="247"/>
      <c r="F33" s="247"/>
      <c r="G33" s="247"/>
      <c r="H33" s="248"/>
      <c r="I33" s="247"/>
      <c r="J33" s="247"/>
      <c r="K33" s="247"/>
      <c r="L33" s="247"/>
      <c r="S33" s="274"/>
      <c r="Y33" s="279"/>
      <c r="Z33" s="279"/>
      <c r="AB33" s="278"/>
    </row>
    <row r="34" spans="1:36">
      <c r="A34" s="260"/>
      <c r="B34" s="285"/>
      <c r="C34" s="247"/>
      <c r="D34" s="247"/>
      <c r="E34" s="247"/>
      <c r="F34" s="247"/>
      <c r="G34" s="260"/>
      <c r="H34" s="248" t="s">
        <v>11</v>
      </c>
      <c r="I34" s="247"/>
      <c r="J34" s="247"/>
      <c r="K34" s="247"/>
      <c r="L34" s="247"/>
      <c r="T34" s="252"/>
      <c r="U34" s="253"/>
      <c r="Z34" s="279"/>
      <c r="AC34" s="253" t="s">
        <v>11</v>
      </c>
    </row>
    <row r="35" spans="1:36">
      <c r="A35" s="260"/>
      <c r="B35" s="263"/>
      <c r="C35" s="247"/>
      <c r="D35" s="247"/>
      <c r="E35" s="247"/>
      <c r="F35" s="247"/>
      <c r="G35" s="248"/>
      <c r="H35" s="247"/>
      <c r="I35" s="247"/>
      <c r="J35" s="247"/>
      <c r="K35" s="247"/>
      <c r="L35" s="247"/>
      <c r="T35" s="279"/>
      <c r="AJ35" s="253" t="s">
        <v>350</v>
      </c>
    </row>
    <row r="36" spans="1:36">
      <c r="A36" s="246"/>
      <c r="B36" s="288"/>
      <c r="C36" s="247"/>
      <c r="D36" s="247"/>
      <c r="E36" s="247"/>
      <c r="F36" s="247"/>
      <c r="G36" s="247"/>
      <c r="H36" s="247"/>
      <c r="I36" s="247"/>
      <c r="J36" s="247"/>
      <c r="K36" s="247"/>
      <c r="L36" s="247"/>
      <c r="T36" s="279"/>
      <c r="U36" s="258"/>
      <c r="AJ36" s="253" t="s">
        <v>350</v>
      </c>
    </row>
    <row r="37" spans="1:36">
      <c r="I37" s="247"/>
      <c r="J37" s="247"/>
      <c r="K37" s="247"/>
      <c r="L37" s="247"/>
      <c r="T37" s="279"/>
      <c r="AJ37" s="253" t="s">
        <v>350</v>
      </c>
    </row>
    <row r="38" spans="1:36">
      <c r="I38" s="247"/>
      <c r="J38" s="247"/>
      <c r="K38" s="247"/>
      <c r="L38" s="247"/>
      <c r="T38" s="279"/>
      <c r="U38" s="258"/>
      <c r="AJ38" s="253" t="s">
        <v>350</v>
      </c>
    </row>
    <row r="39" spans="1:36">
      <c r="A39" s="246"/>
      <c r="B39" s="247"/>
      <c r="C39" s="247"/>
      <c r="D39" s="247"/>
      <c r="E39" s="247"/>
      <c r="F39" s="247"/>
      <c r="G39" s="247"/>
      <c r="H39" s="247"/>
      <c r="I39" s="247"/>
      <c r="J39" s="247"/>
      <c r="K39" s="247"/>
      <c r="L39" s="247"/>
      <c r="T39" s="279"/>
      <c r="AJ39" s="253" t="s">
        <v>350</v>
      </c>
    </row>
    <row r="40" spans="1:36">
      <c r="A40" s="246"/>
      <c r="B40" s="247"/>
      <c r="C40" s="247"/>
      <c r="D40" s="247"/>
      <c r="E40" s="247"/>
      <c r="F40" s="247"/>
      <c r="G40" s="247"/>
      <c r="H40" s="247"/>
      <c r="I40" s="247"/>
      <c r="J40" s="247"/>
      <c r="K40" s="247"/>
      <c r="L40" s="247"/>
      <c r="T40" s="279"/>
      <c r="AH40" s="253" t="s">
        <v>350</v>
      </c>
    </row>
    <row r="41" spans="1:36">
      <c r="A41" s="246"/>
      <c r="B41" s="247"/>
      <c r="C41" s="247"/>
      <c r="D41" s="247"/>
      <c r="E41" s="247"/>
      <c r="F41" s="247"/>
      <c r="G41" s="247"/>
      <c r="H41" s="247"/>
      <c r="I41" s="247"/>
      <c r="J41" s="247"/>
      <c r="K41" s="247"/>
      <c r="L41" s="247"/>
      <c r="T41" s="279"/>
    </row>
    <row r="42" spans="1:36">
      <c r="A42" s="246"/>
      <c r="B42" s="247"/>
      <c r="C42" s="247"/>
      <c r="D42" s="247"/>
      <c r="E42" s="247"/>
      <c r="F42" s="247"/>
      <c r="G42" s="247"/>
      <c r="H42" s="247"/>
      <c r="I42" s="247"/>
      <c r="J42" s="247"/>
      <c r="K42" s="247"/>
      <c r="L42" s="247"/>
      <c r="T42" s="279"/>
    </row>
    <row r="43" spans="1:36">
      <c r="A43" s="246"/>
      <c r="B43" s="247"/>
      <c r="C43" s="247"/>
      <c r="D43" s="247"/>
      <c r="E43" s="247"/>
      <c r="F43" s="247"/>
      <c r="G43" s="247"/>
      <c r="H43" s="247"/>
      <c r="I43" s="247"/>
      <c r="J43" s="247"/>
      <c r="K43" s="247"/>
      <c r="L43" s="247"/>
      <c r="T43" s="253"/>
      <c r="AC43" s="253" t="s">
        <v>350</v>
      </c>
    </row>
    <row r="44" spans="1:36">
      <c r="A44" s="246"/>
      <c r="B44" s="247"/>
      <c r="C44" s="247"/>
      <c r="D44" s="247"/>
      <c r="E44" s="247"/>
      <c r="F44" s="247"/>
      <c r="G44" s="247"/>
      <c r="H44" s="247"/>
      <c r="I44" s="247"/>
      <c r="J44" s="247"/>
      <c r="K44" s="247"/>
      <c r="L44" s="247"/>
      <c r="U44" s="253"/>
      <c r="V44" s="290"/>
      <c r="W44" s="253"/>
      <c r="X44" s="290"/>
      <c r="Y44" s="290"/>
    </row>
    <row r="45" spans="1:36">
      <c r="A45" s="246"/>
      <c r="B45" s="247"/>
      <c r="C45" s="247"/>
      <c r="D45" s="247"/>
      <c r="E45" s="247"/>
      <c r="F45" s="247"/>
      <c r="G45" s="247"/>
      <c r="H45" s="247"/>
      <c r="I45" s="247"/>
      <c r="J45" s="247"/>
      <c r="K45" s="247"/>
      <c r="L45" s="247"/>
    </row>
    <row r="46" spans="1:36">
      <c r="A46" s="246"/>
      <c r="B46" s="247"/>
      <c r="C46" s="247"/>
      <c r="D46" s="247"/>
      <c r="E46" s="247"/>
      <c r="F46" s="247"/>
      <c r="G46" s="247"/>
      <c r="H46" s="247"/>
      <c r="I46" s="247"/>
      <c r="J46" s="247"/>
      <c r="K46" s="247"/>
      <c r="L46" s="247"/>
      <c r="U46" s="253"/>
      <c r="V46" s="290"/>
      <c r="W46" s="253"/>
      <c r="X46" s="290"/>
      <c r="Y46" s="290"/>
    </row>
    <row r="47" spans="1:36">
      <c r="H47" s="247"/>
      <c r="I47" s="247"/>
      <c r="J47" s="247"/>
      <c r="K47" s="247"/>
      <c r="L47" s="247"/>
    </row>
    <row r="48" spans="1:36">
      <c r="H48" s="247"/>
      <c r="I48" s="247"/>
      <c r="J48" s="247"/>
      <c r="K48" s="247"/>
      <c r="L48" s="247"/>
      <c r="U48" s="253"/>
      <c r="V48" s="290"/>
      <c r="W48" s="253"/>
      <c r="X48" s="290"/>
      <c r="Y48" s="290"/>
    </row>
    <row r="49" spans="8:25">
      <c r="H49" s="247"/>
      <c r="I49" s="247"/>
      <c r="J49" s="247"/>
      <c r="K49" s="247"/>
      <c r="L49" s="247"/>
      <c r="Y49" s="258"/>
    </row>
    <row r="50" spans="8:25">
      <c r="H50" s="247"/>
      <c r="I50" s="247"/>
      <c r="J50" s="247"/>
      <c r="K50" s="247"/>
      <c r="L50" s="247"/>
      <c r="U50" s="253"/>
      <c r="V50" s="290"/>
      <c r="W50" s="253"/>
    </row>
    <row r="51" spans="8:25">
      <c r="H51" s="247"/>
      <c r="I51" s="247"/>
      <c r="J51" s="247"/>
      <c r="K51" s="247"/>
      <c r="L51" s="247"/>
    </row>
    <row r="52" spans="8:25">
      <c r="H52" s="247"/>
      <c r="I52" s="247"/>
      <c r="J52" s="247"/>
      <c r="K52" s="247"/>
      <c r="L52" s="247"/>
      <c r="W52" s="253"/>
    </row>
    <row r="53" spans="8:25">
      <c r="I53" s="247"/>
      <c r="J53" s="247"/>
      <c r="K53" s="247"/>
      <c r="L53" s="247"/>
    </row>
    <row r="107" spans="44:44">
      <c r="AR107" s="258" t="s">
        <v>351</v>
      </c>
    </row>
    <row r="108" spans="44:44">
      <c r="AR108" s="258" t="s">
        <v>352</v>
      </c>
    </row>
    <row r="111" spans="44:44">
      <c r="AR111" s="258" t="s">
        <v>353</v>
      </c>
    </row>
    <row r="113" spans="44:44">
      <c r="AR113" s="258" t="s">
        <v>354</v>
      </c>
    </row>
    <row r="115" spans="44:44">
      <c r="AR115" s="258" t="s">
        <v>11</v>
      </c>
    </row>
    <row r="116" spans="44:44">
      <c r="AR116" s="291" t="s">
        <v>355</v>
      </c>
    </row>
    <row r="118" spans="44:44">
      <c r="AR118" s="258" t="s">
        <v>356</v>
      </c>
    </row>
  </sheetData>
  <phoneticPr fontId="14" type="noConversion"/>
  <printOptions horizontalCentered="1" verticalCentered="1" gridLinesSet="0"/>
  <pageMargins left="0.5" right="0.5" top="0.25" bottom="0.25" header="0.5" footer="0.5"/>
  <pageSetup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syncVertical="1" syncRef="A1">
    <pageSetUpPr fitToPage="1"/>
  </sheetPr>
  <dimension ref="A1:AR120"/>
  <sheetViews>
    <sheetView showGridLines="0" showZeros="0" zoomScale="80" workbookViewId="0">
      <selection activeCell="B33" sqref="B33"/>
    </sheetView>
  </sheetViews>
  <sheetFormatPr defaultColWidth="6.83203125" defaultRowHeight="13.8"/>
  <cols>
    <col min="1" max="1" width="3.5" style="292" customWidth="1"/>
    <col min="2" max="2" width="17.08203125" style="293" customWidth="1"/>
    <col min="3" max="3" width="10.58203125" style="293" customWidth="1"/>
    <col min="4" max="4" width="7.9140625" style="293" customWidth="1"/>
    <col min="5" max="5" width="9.4140625" style="293" customWidth="1"/>
    <col min="6" max="6" width="12.4140625" style="293" customWidth="1"/>
    <col min="7" max="7" width="11.6640625" style="293" customWidth="1"/>
    <col min="8" max="8" width="1.4140625" style="293" customWidth="1"/>
    <col min="9" max="18" width="6.83203125" style="293"/>
    <col min="19" max="20" width="3.33203125" style="293" customWidth="1"/>
    <col min="21" max="22" width="6.83203125" style="293" customWidth="1"/>
    <col min="23" max="23" width="5.4140625" style="293" customWidth="1"/>
    <col min="24" max="24" width="2.58203125" style="293" customWidth="1"/>
    <col min="25" max="25" width="4.6640625" style="293" customWidth="1"/>
    <col min="26" max="26" width="6.83203125" style="293"/>
    <col min="27" max="28" width="11.6640625" style="293" customWidth="1"/>
    <col min="29" max="29" width="6.83203125" style="293"/>
    <col min="30" max="30" width="4" style="293" customWidth="1"/>
    <col min="31" max="16384" width="6.83203125" style="293"/>
  </cols>
  <sheetData>
    <row r="1" spans="1:27">
      <c r="G1" s="294" t="s">
        <v>335</v>
      </c>
    </row>
    <row r="2" spans="1:27">
      <c r="A2" s="295" t="s">
        <v>336</v>
      </c>
      <c r="B2" s="295"/>
      <c r="C2" s="295"/>
      <c r="D2" s="295"/>
      <c r="E2" s="295"/>
      <c r="F2" s="295"/>
      <c r="G2" s="295"/>
      <c r="H2" s="295"/>
    </row>
    <row r="3" spans="1:27">
      <c r="A3" s="295" t="s">
        <v>337</v>
      </c>
      <c r="B3" s="295"/>
      <c r="C3" s="295"/>
      <c r="D3" s="295"/>
      <c r="E3" s="295"/>
      <c r="F3" s="295"/>
      <c r="G3" s="295"/>
      <c r="H3" s="295"/>
    </row>
    <row r="4" spans="1:27">
      <c r="G4" s="294"/>
    </row>
    <row r="5" spans="1:27">
      <c r="C5" s="292" t="s">
        <v>338</v>
      </c>
      <c r="D5" s="296">
        <f ca="1">NOW()</f>
        <v>42849.430286689814</v>
      </c>
      <c r="T5" s="297"/>
      <c r="V5" s="298"/>
      <c r="W5" s="299"/>
      <c r="X5" s="299"/>
      <c r="Y5" s="299"/>
      <c r="AA5" s="298"/>
    </row>
    <row r="6" spans="1:27">
      <c r="C6" s="292" t="s">
        <v>160</v>
      </c>
      <c r="D6" s="300" t="str">
        <f>Input!D2</f>
        <v>Marlyn Del Cid</v>
      </c>
      <c r="E6" s="301"/>
      <c r="T6" s="302"/>
      <c r="U6" s="294"/>
      <c r="V6" s="294"/>
      <c r="AA6" s="303"/>
    </row>
    <row r="7" spans="1:27">
      <c r="B7" s="41"/>
      <c r="C7" s="41"/>
      <c r="T7" s="302"/>
    </row>
    <row r="8" spans="1:27">
      <c r="B8" s="304" t="s">
        <v>339</v>
      </c>
      <c r="C8" s="295"/>
      <c r="E8" s="294" t="s">
        <v>340</v>
      </c>
      <c r="G8" s="294" t="s">
        <v>358</v>
      </c>
      <c r="T8" s="302"/>
    </row>
    <row r="9" spans="1:27">
      <c r="B9" s="304" t="s">
        <v>359</v>
      </c>
      <c r="C9" s="293" t="str">
        <f>Input!D30</f>
        <v>NEUROLOGICAL SURGERY</v>
      </c>
      <c r="E9" s="305" t="s">
        <v>11</v>
      </c>
      <c r="F9" s="306"/>
      <c r="G9" s="306"/>
    </row>
    <row r="10" spans="1:27">
      <c r="B10" s="304" t="s">
        <v>341</v>
      </c>
      <c r="C10" s="307" t="str">
        <f>Input!D31</f>
        <v>359924</v>
      </c>
      <c r="E10" s="308" t="str">
        <f>Input!D3</f>
        <v>Matthew L Gardner</v>
      </c>
      <c r="G10" s="294" t="s">
        <v>11</v>
      </c>
    </row>
    <row r="11" spans="1:27">
      <c r="B11" s="304"/>
      <c r="C11" s="307"/>
      <c r="E11" s="308"/>
      <c r="G11" s="294"/>
    </row>
    <row r="12" spans="1:27" ht="12.9" customHeight="1">
      <c r="F12" s="308" t="str">
        <f>IF(W55=" "," ",REPT(" ",0)&amp;+W55)</f>
        <v/>
      </c>
      <c r="G12" s="294" t="s">
        <v>11</v>
      </c>
    </row>
    <row r="13" spans="1:27" ht="12.9" customHeight="1">
      <c r="E13" s="294" t="s">
        <v>11</v>
      </c>
    </row>
    <row r="14" spans="1:27" ht="12.9" customHeight="1" thickBot="1">
      <c r="A14" s="309"/>
      <c r="B14" s="310" t="s">
        <v>260</v>
      </c>
      <c r="C14" s="310" t="s">
        <v>342</v>
      </c>
      <c r="D14" s="310" t="s">
        <v>343</v>
      </c>
      <c r="E14" s="310" t="s">
        <v>344</v>
      </c>
      <c r="F14" s="311" t="s">
        <v>345</v>
      </c>
      <c r="G14" s="312" t="s">
        <v>346</v>
      </c>
      <c r="H14" s="313" t="s">
        <v>11</v>
      </c>
      <c r="T14" s="297"/>
      <c r="V14" s="314"/>
      <c r="W14" s="314"/>
    </row>
    <row r="15" spans="1:27" ht="12.9" customHeight="1">
      <c r="A15" s="309"/>
      <c r="B15" s="315"/>
      <c r="C15" s="316"/>
      <c r="D15" s="555"/>
      <c r="E15" s="315"/>
      <c r="F15" s="317"/>
      <c r="G15" s="317"/>
      <c r="H15" s="313" t="s">
        <v>11</v>
      </c>
      <c r="V15" s="294"/>
    </row>
    <row r="16" spans="1:27" ht="12.9" customHeight="1">
      <c r="A16" s="318" t="s">
        <v>347</v>
      </c>
      <c r="B16" s="319" t="str">
        <f>"DEF TRF "&amp;Input!D16</f>
        <v>DEF TRF 62-7032</v>
      </c>
      <c r="C16" s="320">
        <f>Input!E52</f>
        <v>0</v>
      </c>
      <c r="D16" s="621" t="str">
        <f>Input!E53</f>
        <v>0</v>
      </c>
      <c r="E16" s="319" t="s">
        <v>11</v>
      </c>
      <c r="F16" s="322">
        <f>Reconciliation!C37</f>
        <v>0</v>
      </c>
      <c r="G16" s="323"/>
      <c r="H16" s="324"/>
      <c r="T16" s="297"/>
      <c r="V16" s="294"/>
    </row>
    <row r="17" spans="1:28">
      <c r="A17" s="325"/>
      <c r="B17" s="319" t="str">
        <f>"DEF TFR "&amp;C16</f>
        <v>DEF TFR 0</v>
      </c>
      <c r="C17" s="326" t="str">
        <f>Input!D16</f>
        <v>62-7032</v>
      </c>
      <c r="D17" s="621" t="str">
        <f>Input!E54</f>
        <v>059900</v>
      </c>
      <c r="E17" s="327" t="s">
        <v>11</v>
      </c>
      <c r="F17" s="328"/>
      <c r="G17" s="243">
        <f>F16</f>
        <v>0</v>
      </c>
      <c r="H17" s="324"/>
    </row>
    <row r="18" spans="1:28">
      <c r="A18" s="325"/>
      <c r="B18" s="329"/>
      <c r="C18" s="320"/>
      <c r="D18" s="330"/>
      <c r="E18" s="331"/>
      <c r="F18" s="332"/>
      <c r="G18" s="332"/>
      <c r="H18" s="324"/>
      <c r="T18" s="297"/>
      <c r="V18" s="294"/>
    </row>
    <row r="19" spans="1:28">
      <c r="A19" s="318"/>
      <c r="B19" s="329"/>
      <c r="C19" s="333"/>
      <c r="D19" s="334"/>
      <c r="E19" s="327"/>
      <c r="F19" s="332"/>
      <c r="G19" s="332"/>
      <c r="H19" s="313" t="s">
        <v>11</v>
      </c>
      <c r="S19" s="298"/>
      <c r="X19" s="298"/>
      <c r="Y19" s="298"/>
      <c r="Z19" s="294"/>
    </row>
    <row r="20" spans="1:28">
      <c r="A20" s="325"/>
      <c r="B20" s="329"/>
      <c r="C20" s="320"/>
      <c r="D20" s="321"/>
      <c r="E20" s="327"/>
      <c r="F20" s="335"/>
      <c r="G20" s="243"/>
      <c r="H20" s="324"/>
      <c r="S20" s="336"/>
      <c r="T20" s="298"/>
      <c r="W20" s="298"/>
      <c r="X20" s="298"/>
      <c r="Y20" s="298"/>
      <c r="AA20" s="298"/>
      <c r="AB20" s="298"/>
    </row>
    <row r="21" spans="1:28">
      <c r="A21" s="318"/>
      <c r="B21" s="319"/>
      <c r="C21" s="326"/>
      <c r="D21" s="321"/>
      <c r="E21" s="327" t="s">
        <v>11</v>
      </c>
      <c r="F21" s="328"/>
      <c r="G21" s="243"/>
      <c r="H21" s="324"/>
      <c r="S21" s="336"/>
      <c r="T21" s="298"/>
      <c r="W21" s="298"/>
      <c r="X21" s="298"/>
      <c r="Y21" s="298"/>
      <c r="AA21" s="298"/>
      <c r="AB21" s="298"/>
    </row>
    <row r="22" spans="1:28">
      <c r="A22" s="325"/>
      <c r="B22" s="319"/>
      <c r="C22" s="326"/>
      <c r="D22" s="337"/>
      <c r="E22" s="327"/>
      <c r="F22" s="338"/>
      <c r="G22" s="243"/>
      <c r="H22" s="313"/>
      <c r="S22" s="339"/>
      <c r="T22" s="294"/>
      <c r="W22" s="294"/>
      <c r="Y22" s="340"/>
      <c r="Z22" s="341"/>
      <c r="AA22" s="342"/>
    </row>
    <row r="23" spans="1:28" ht="12" customHeight="1">
      <c r="A23" s="325"/>
      <c r="B23" s="319"/>
      <c r="C23" s="326"/>
      <c r="D23" s="330"/>
      <c r="E23" s="327"/>
      <c r="F23" s="338"/>
      <c r="G23" s="243"/>
      <c r="H23" s="313" t="s">
        <v>11</v>
      </c>
      <c r="S23" s="339"/>
      <c r="T23" s="294"/>
      <c r="W23" s="294"/>
      <c r="Y23" s="340"/>
      <c r="Z23" s="341"/>
      <c r="AB23" s="308"/>
    </row>
    <row r="24" spans="1:28">
      <c r="A24" s="325"/>
      <c r="B24" s="319"/>
      <c r="C24" s="326"/>
      <c r="D24" s="334"/>
      <c r="E24" s="343"/>
      <c r="F24" s="343"/>
      <c r="G24" s="243"/>
      <c r="H24" s="313" t="s">
        <v>11</v>
      </c>
      <c r="S24" s="339"/>
      <c r="Y24" s="344"/>
      <c r="Z24" s="344"/>
      <c r="AB24" s="308"/>
    </row>
    <row r="25" spans="1:28">
      <c r="A25" s="309"/>
      <c r="B25" s="319"/>
      <c r="C25" s="326"/>
      <c r="D25" s="321"/>
      <c r="E25" s="343"/>
      <c r="F25" s="343"/>
      <c r="G25" s="243"/>
      <c r="H25" s="313" t="s">
        <v>11</v>
      </c>
      <c r="S25" s="339"/>
      <c r="T25" s="294"/>
      <c r="W25" s="294"/>
      <c r="Y25" s="340"/>
      <c r="Z25" s="340"/>
      <c r="AA25" s="345"/>
      <c r="AB25" s="308"/>
    </row>
    <row r="26" spans="1:28">
      <c r="A26" s="346"/>
      <c r="B26" s="327"/>
      <c r="C26" s="347"/>
      <c r="D26" s="348"/>
      <c r="E26" s="343"/>
      <c r="F26" s="343"/>
      <c r="G26" s="243"/>
      <c r="H26" s="313" t="s">
        <v>11</v>
      </c>
      <c r="S26" s="339"/>
      <c r="T26" s="294"/>
      <c r="W26" s="294"/>
      <c r="Y26" s="340"/>
      <c r="Z26" s="340"/>
      <c r="AB26" s="308"/>
    </row>
    <row r="27" spans="1:28">
      <c r="A27" s="346"/>
      <c r="B27" s="327"/>
      <c r="C27" s="347"/>
      <c r="D27" s="348"/>
      <c r="E27" s="343"/>
      <c r="F27" s="343"/>
      <c r="G27" s="243"/>
      <c r="H27" s="313"/>
      <c r="S27" s="339"/>
      <c r="T27" s="294"/>
      <c r="W27" s="294"/>
      <c r="Y27" s="340"/>
      <c r="Z27" s="340"/>
      <c r="AB27" s="308"/>
    </row>
    <row r="28" spans="1:28" ht="14.4" thickBot="1">
      <c r="A28" s="346"/>
      <c r="B28" s="327"/>
      <c r="C28" s="347"/>
      <c r="D28" s="348"/>
      <c r="E28" s="327"/>
      <c r="F28" s="338"/>
      <c r="G28" s="349"/>
      <c r="H28" s="313" t="s">
        <v>11</v>
      </c>
      <c r="S28" s="339"/>
      <c r="W28" s="294"/>
      <c r="Y28" s="340"/>
      <c r="Z28" s="344"/>
      <c r="AB28" s="308"/>
    </row>
    <row r="29" spans="1:28" ht="15" thickTop="1" thickBot="1">
      <c r="A29" s="304"/>
      <c r="E29" s="294" t="s">
        <v>348</v>
      </c>
      <c r="F29" s="245">
        <f>SUM(F16:F28)</f>
        <v>0</v>
      </c>
      <c r="G29" s="245">
        <f>SUM(G16:G28)</f>
        <v>0</v>
      </c>
      <c r="H29" s="313" t="s">
        <v>11</v>
      </c>
      <c r="S29" s="339"/>
      <c r="Y29" s="344"/>
      <c r="Z29" s="344"/>
      <c r="AA29" s="342"/>
      <c r="AB29" s="308"/>
    </row>
    <row r="30" spans="1:28" ht="14.4" thickTop="1">
      <c r="A30" s="304"/>
      <c r="B30" s="305" t="s">
        <v>349</v>
      </c>
      <c r="H30" s="294" t="s">
        <v>11</v>
      </c>
      <c r="S30" s="339"/>
      <c r="T30" s="350"/>
      <c r="Y30" s="344"/>
      <c r="Z30" s="344"/>
      <c r="AB30" s="308"/>
    </row>
    <row r="31" spans="1:28">
      <c r="A31" s="304"/>
      <c r="B31" s="303" t="s">
        <v>477</v>
      </c>
      <c r="H31" s="294" t="s">
        <v>11</v>
      </c>
      <c r="S31" s="339"/>
      <c r="Y31" s="344"/>
      <c r="Z31" s="344"/>
      <c r="AB31" s="308"/>
    </row>
    <row r="32" spans="1:28">
      <c r="A32" s="304"/>
      <c r="B32" s="351"/>
      <c r="D32" s="352"/>
      <c r="E32" s="351"/>
      <c r="H32" s="294"/>
      <c r="S32" s="339"/>
      <c r="Y32" s="344"/>
      <c r="Z32" s="344"/>
      <c r="AB32" s="308"/>
    </row>
    <row r="33" spans="1:36">
      <c r="A33" s="304"/>
      <c r="D33" s="301"/>
      <c r="E33" s="351"/>
      <c r="H33" s="294"/>
      <c r="S33" s="339"/>
      <c r="Y33" s="344"/>
      <c r="Z33" s="344"/>
      <c r="AB33" s="308"/>
    </row>
    <row r="34" spans="1:36">
      <c r="A34" s="304"/>
      <c r="D34" s="352"/>
      <c r="E34" s="351"/>
      <c r="H34" s="294" t="s">
        <v>11</v>
      </c>
      <c r="S34" s="339"/>
      <c r="Y34" s="344"/>
      <c r="Z34" s="344"/>
      <c r="AB34" s="308"/>
    </row>
    <row r="35" spans="1:36">
      <c r="A35" s="304"/>
      <c r="D35" s="353"/>
      <c r="G35" s="292"/>
      <c r="H35" s="294"/>
      <c r="S35" s="339"/>
      <c r="Y35" s="344"/>
      <c r="Z35" s="344"/>
      <c r="AB35" s="308"/>
    </row>
    <row r="36" spans="1:36">
      <c r="A36" s="304"/>
      <c r="B36" s="303"/>
      <c r="G36" s="294"/>
      <c r="H36" s="294" t="s">
        <v>11</v>
      </c>
      <c r="T36" s="297"/>
      <c r="U36" s="298"/>
      <c r="Z36" s="344"/>
      <c r="AC36" s="298"/>
    </row>
    <row r="37" spans="1:36">
      <c r="A37" s="304"/>
      <c r="B37" s="308"/>
      <c r="G37" s="294" t="s">
        <v>11</v>
      </c>
      <c r="T37" s="344"/>
      <c r="AJ37" s="298" t="s">
        <v>350</v>
      </c>
    </row>
    <row r="38" spans="1:36">
      <c r="B38" s="354"/>
      <c r="T38" s="344"/>
      <c r="U38" s="294"/>
      <c r="AJ38" s="298" t="s">
        <v>350</v>
      </c>
    </row>
    <row r="39" spans="1:36">
      <c r="T39" s="344"/>
      <c r="AJ39" s="298" t="s">
        <v>350</v>
      </c>
    </row>
    <row r="40" spans="1:36">
      <c r="T40" s="344"/>
      <c r="U40" s="294"/>
      <c r="AJ40" s="298" t="s">
        <v>350</v>
      </c>
    </row>
    <row r="41" spans="1:36">
      <c r="T41" s="344"/>
      <c r="AJ41" s="298" t="s">
        <v>350</v>
      </c>
    </row>
    <row r="42" spans="1:36">
      <c r="T42" s="344"/>
      <c r="AH42" s="298" t="s">
        <v>350</v>
      </c>
    </row>
    <row r="43" spans="1:36">
      <c r="T43" s="344"/>
    </row>
    <row r="44" spans="1:36">
      <c r="T44" s="344"/>
    </row>
    <row r="45" spans="1:36">
      <c r="T45" s="298"/>
      <c r="AC45" s="298"/>
    </row>
    <row r="46" spans="1:36">
      <c r="U46" s="298"/>
      <c r="V46" s="355"/>
      <c r="W46" s="298"/>
      <c r="X46" s="355"/>
      <c r="Y46" s="355"/>
    </row>
    <row r="48" spans="1:36">
      <c r="U48" s="298"/>
      <c r="V48" s="355"/>
      <c r="W48" s="298"/>
      <c r="X48" s="355"/>
      <c r="Y48" s="355"/>
    </row>
    <row r="50" spans="21:25">
      <c r="U50" s="298"/>
      <c r="V50" s="355"/>
      <c r="W50" s="298"/>
      <c r="X50" s="355"/>
      <c r="Y50" s="355"/>
    </row>
    <row r="51" spans="21:25">
      <c r="Y51" s="294"/>
    </row>
    <row r="52" spans="21:25">
      <c r="U52" s="298"/>
      <c r="V52" s="355"/>
      <c r="W52" s="298"/>
    </row>
    <row r="54" spans="21:25">
      <c r="W54" s="298"/>
    </row>
    <row r="109" spans="44:44">
      <c r="AR109" s="294" t="s">
        <v>351</v>
      </c>
    </row>
    <row r="110" spans="44:44">
      <c r="AR110" s="294" t="s">
        <v>352</v>
      </c>
    </row>
    <row r="113" spans="44:44">
      <c r="AR113" s="294" t="s">
        <v>353</v>
      </c>
    </row>
    <row r="115" spans="44:44">
      <c r="AR115" s="294" t="s">
        <v>354</v>
      </c>
    </row>
    <row r="117" spans="44:44">
      <c r="AR117" s="294" t="s">
        <v>11</v>
      </c>
    </row>
    <row r="118" spans="44:44">
      <c r="AR118" s="356" t="s">
        <v>355</v>
      </c>
    </row>
    <row r="120" spans="44:44">
      <c r="AR120" s="294" t="s">
        <v>356</v>
      </c>
    </row>
  </sheetData>
  <phoneticPr fontId="14" type="noConversion"/>
  <printOptions horizontalCentered="1" verticalCentered="1" gridLinesSet="0"/>
  <pageMargins left="0.5" right="0.5" top="0.25" bottom="0.25" header="0.5" footer="0.5"/>
  <pageSetup orientation="landscape" horizontalDpi="4294967292" verticalDpi="144"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6"/>
  <sheetViews>
    <sheetView workbookViewId="0">
      <selection activeCell="B10" sqref="B10"/>
    </sheetView>
  </sheetViews>
  <sheetFormatPr defaultRowHeight="15.6"/>
  <cols>
    <col min="1" max="1" width="10.1640625" style="1126" customWidth="1"/>
    <col min="2" max="2" width="82" style="1124" customWidth="1"/>
  </cols>
  <sheetData>
    <row r="1" spans="1:2" ht="16.2">
      <c r="A1" s="1123" t="s">
        <v>583</v>
      </c>
    </row>
    <row r="3" spans="1:2" ht="16.2">
      <c r="A3" s="1123" t="s">
        <v>232</v>
      </c>
      <c r="B3" s="1125" t="s">
        <v>584</v>
      </c>
    </row>
    <row r="4" spans="1:2">
      <c r="A4" s="1128">
        <v>42545</v>
      </c>
      <c r="B4" s="1127" t="s">
        <v>588</v>
      </c>
    </row>
    <row r="5" spans="1:2">
      <c r="A5" s="1126">
        <v>42545</v>
      </c>
      <c r="B5" s="1127" t="s">
        <v>585</v>
      </c>
    </row>
    <row r="6" spans="1:2" ht="31.2">
      <c r="A6" s="1126">
        <v>42545</v>
      </c>
      <c r="B6" s="1127" t="s">
        <v>586</v>
      </c>
    </row>
    <row r="7" spans="1:2" ht="31.2">
      <c r="A7" s="1128">
        <v>42545</v>
      </c>
      <c r="B7" s="1127" t="s">
        <v>587</v>
      </c>
    </row>
    <row r="8" spans="1:2">
      <c r="A8" s="1126">
        <v>42584</v>
      </c>
      <c r="B8" s="1127" t="s">
        <v>589</v>
      </c>
    </row>
    <row r="9" spans="1:2">
      <c r="A9" s="1126">
        <v>42585</v>
      </c>
      <c r="B9" s="1127" t="s">
        <v>599</v>
      </c>
    </row>
    <row r="10" spans="1:2" ht="31.2">
      <c r="A10" s="1126">
        <v>42586</v>
      </c>
      <c r="B10" s="1124" t="s">
        <v>600</v>
      </c>
    </row>
    <row r="11" spans="1:2" ht="78">
      <c r="A11" s="1126">
        <v>42633</v>
      </c>
      <c r="B11" s="1127" t="s">
        <v>604</v>
      </c>
    </row>
    <row r="12" spans="1:2" ht="31.2">
      <c r="A12" s="1126">
        <v>42633</v>
      </c>
      <c r="B12" s="1127" t="s">
        <v>602</v>
      </c>
    </row>
    <row r="13" spans="1:2">
      <c r="A13" s="1126">
        <v>42635</v>
      </c>
      <c r="B13" s="1124" t="s">
        <v>605</v>
      </c>
    </row>
    <row r="14" spans="1:2">
      <c r="A14" s="1126">
        <v>42650</v>
      </c>
      <c r="B14" s="1127" t="s">
        <v>606</v>
      </c>
    </row>
    <row r="15" spans="1:2">
      <c r="A15" s="1126">
        <v>42657</v>
      </c>
      <c r="B15" s="1124" t="s">
        <v>607</v>
      </c>
    </row>
    <row r="16" spans="1:2">
      <c r="A16" s="1126">
        <v>42682</v>
      </c>
      <c r="B16" s="1127" t="s">
        <v>644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syncVertical="1" syncRef="A1" transitionEvaluation="1" transitionEntry="1">
    <pageSetUpPr fitToPage="1"/>
  </sheetPr>
  <dimension ref="A1:BZ178"/>
  <sheetViews>
    <sheetView showGridLines="0" zoomScale="63" workbookViewId="0">
      <selection activeCell="C17" sqref="C17"/>
    </sheetView>
  </sheetViews>
  <sheetFormatPr defaultColWidth="9.6640625" defaultRowHeight="15.6"/>
  <cols>
    <col min="1" max="1" width="15.5" customWidth="1"/>
    <col min="2" max="2" width="15.83203125" style="40" customWidth="1"/>
    <col min="3" max="3" width="17.58203125" style="40" customWidth="1"/>
    <col min="4" max="4" width="12.33203125" style="40" customWidth="1"/>
    <col min="5" max="5" width="10.83203125" style="40" customWidth="1"/>
    <col min="6" max="6" width="10.6640625" style="40" customWidth="1"/>
    <col min="7" max="7" width="10.83203125" style="40" customWidth="1"/>
    <col min="8" max="8" width="3.58203125" customWidth="1"/>
    <col min="9" max="9" width="1.33203125" customWidth="1"/>
    <col min="10" max="10" width="4.08203125" customWidth="1"/>
    <col min="11" max="13" width="14.6640625" style="30" customWidth="1"/>
    <col min="14" max="20" width="14.6640625" style="32" customWidth="1"/>
    <col min="21" max="22" width="14.6640625" style="30" customWidth="1"/>
  </cols>
  <sheetData>
    <row r="1" spans="1:22" ht="17.399999999999999">
      <c r="A1" s="8" t="s">
        <v>99</v>
      </c>
      <c r="B1" s="361"/>
      <c r="C1" s="47"/>
      <c r="D1" s="47"/>
      <c r="E1" s="47"/>
      <c r="F1" s="47"/>
      <c r="G1" s="47"/>
      <c r="H1" s="1"/>
      <c r="I1" s="1"/>
      <c r="J1" s="1"/>
      <c r="K1" s="1"/>
      <c r="L1" s="1"/>
      <c r="M1" s="1"/>
      <c r="N1" s="10"/>
      <c r="O1" s="10"/>
      <c r="P1" s="10"/>
      <c r="Q1" s="10"/>
      <c r="R1" s="10"/>
      <c r="S1" s="10"/>
      <c r="T1" s="10"/>
      <c r="U1" s="23"/>
      <c r="V1" s="23"/>
    </row>
    <row r="2" spans="1:22">
      <c r="A2" s="1"/>
      <c r="F2" s="362"/>
      <c r="H2" s="1"/>
      <c r="I2" s="1"/>
      <c r="J2" s="1"/>
      <c r="K2" s="1"/>
      <c r="L2" s="1"/>
      <c r="M2" s="1"/>
      <c r="N2" s="10"/>
      <c r="O2" s="10"/>
      <c r="P2" s="10"/>
      <c r="Q2" s="10"/>
      <c r="R2" s="10"/>
      <c r="S2" s="10"/>
      <c r="T2" s="10"/>
      <c r="U2" s="23"/>
      <c r="V2" s="23"/>
    </row>
    <row r="3" spans="1:22">
      <c r="A3" s="1"/>
      <c r="C3" s="363"/>
      <c r="D3" s="364" t="s">
        <v>237</v>
      </c>
      <c r="E3" s="365" t="str">
        <f>Input!D16</f>
        <v>62-7032</v>
      </c>
      <c r="G3" s="366"/>
      <c r="H3" s="1"/>
      <c r="I3" s="1"/>
      <c r="J3" s="1"/>
      <c r="K3" s="1"/>
      <c r="L3" s="1"/>
      <c r="M3" s="1"/>
      <c r="N3" s="10"/>
      <c r="O3" s="10"/>
      <c r="P3" s="10"/>
      <c r="Q3" s="10"/>
      <c r="R3" s="10"/>
      <c r="S3" s="10"/>
      <c r="T3" s="10"/>
      <c r="U3" s="23"/>
      <c r="V3" s="23"/>
    </row>
    <row r="4" spans="1:22">
      <c r="A4" s="1"/>
      <c r="C4" s="363"/>
      <c r="D4" s="364" t="s">
        <v>238</v>
      </c>
      <c r="E4" s="365" t="str">
        <f>Input!D17</f>
        <v>61-1620</v>
      </c>
      <c r="G4" s="41"/>
      <c r="H4" s="1"/>
      <c r="I4" s="1"/>
      <c r="J4" s="1"/>
      <c r="K4" s="1"/>
      <c r="L4" s="1"/>
      <c r="M4" s="1"/>
      <c r="N4" s="10"/>
      <c r="O4" s="10"/>
      <c r="P4" s="10"/>
      <c r="Q4" s="10"/>
      <c r="R4" s="10"/>
      <c r="S4" s="10"/>
      <c r="T4" s="10"/>
      <c r="U4" s="23"/>
      <c r="V4" s="23"/>
    </row>
    <row r="5" spans="1:22">
      <c r="A5" s="1"/>
      <c r="C5" s="41"/>
      <c r="D5" s="41"/>
      <c r="E5" s="41"/>
      <c r="F5" s="367"/>
      <c r="G5" s="366"/>
      <c r="H5" s="1"/>
      <c r="I5" s="1"/>
      <c r="J5" s="1"/>
      <c r="K5" s="1"/>
      <c r="L5" s="1"/>
      <c r="M5" s="1"/>
      <c r="N5" s="10"/>
      <c r="O5" s="10"/>
      <c r="P5" s="10"/>
      <c r="Q5" s="10"/>
      <c r="R5" s="10"/>
      <c r="S5" s="10"/>
      <c r="T5" s="10"/>
      <c r="U5" s="23"/>
      <c r="V5" s="23"/>
    </row>
    <row r="6" spans="1:22" ht="15.75" customHeight="1">
      <c r="A6" s="5" t="s">
        <v>125</v>
      </c>
      <c r="B6" s="41"/>
      <c r="C6" s="40">
        <f>E51</f>
        <v>0</v>
      </c>
      <c r="E6" s="368" t="s">
        <v>239</v>
      </c>
      <c r="F6" s="369"/>
      <c r="G6" s="52"/>
      <c r="H6" s="1"/>
      <c r="I6" s="1"/>
      <c r="J6" s="1"/>
      <c r="K6" s="1"/>
      <c r="L6" s="1"/>
      <c r="M6" s="1"/>
      <c r="N6" s="10"/>
      <c r="O6" s="10"/>
      <c r="P6" s="10"/>
      <c r="Q6" s="10"/>
      <c r="R6" s="10"/>
      <c r="S6" s="10"/>
      <c r="T6" s="10"/>
      <c r="U6" s="23"/>
      <c r="V6" s="23"/>
    </row>
    <row r="7" spans="1:22">
      <c r="A7" s="5" t="s">
        <v>240</v>
      </c>
      <c r="B7" s="41"/>
      <c r="C7" s="370">
        <f>C6-C8</f>
        <v>0</v>
      </c>
      <c r="E7" s="371" t="s">
        <v>241</v>
      </c>
      <c r="F7" s="372" t="s">
        <v>242</v>
      </c>
      <c r="G7" s="100"/>
      <c r="H7" s="1"/>
      <c r="I7" s="1"/>
      <c r="J7" s="1"/>
      <c r="K7" s="1"/>
      <c r="L7" s="1"/>
      <c r="M7" s="1"/>
      <c r="N7" s="10"/>
      <c r="O7" s="10"/>
      <c r="P7" s="10"/>
      <c r="Q7" s="10"/>
      <c r="R7" s="10"/>
      <c r="S7" s="10"/>
      <c r="T7" s="10"/>
      <c r="U7" s="23"/>
      <c r="V7" s="23"/>
    </row>
    <row r="8" spans="1:22">
      <c r="A8" s="5" t="s">
        <v>243</v>
      </c>
      <c r="B8" s="41"/>
      <c r="C8" s="40">
        <f>F51</f>
        <v>0</v>
      </c>
      <c r="E8" s="371" t="s">
        <v>105</v>
      </c>
      <c r="F8" s="372" t="s">
        <v>106</v>
      </c>
      <c r="G8" s="100"/>
      <c r="H8" s="1"/>
      <c r="I8" s="1"/>
      <c r="J8" s="1"/>
      <c r="K8" s="1"/>
      <c r="L8" s="1"/>
      <c r="M8" s="1"/>
      <c r="N8" s="10"/>
      <c r="O8" s="10"/>
      <c r="P8" s="10"/>
      <c r="Q8" s="10"/>
      <c r="R8" s="10"/>
      <c r="S8" s="10"/>
      <c r="T8" s="10"/>
      <c r="U8" s="23"/>
      <c r="V8" s="23"/>
    </row>
    <row r="9" spans="1:22">
      <c r="A9" s="5"/>
      <c r="B9" s="41"/>
      <c r="E9" s="371" t="s">
        <v>110</v>
      </c>
      <c r="F9" s="372" t="s">
        <v>111</v>
      </c>
      <c r="G9" s="100"/>
      <c r="H9" s="1"/>
      <c r="I9" s="1"/>
      <c r="J9" s="1"/>
      <c r="K9" s="1"/>
      <c r="L9" s="1"/>
      <c r="M9" s="1"/>
      <c r="N9" s="10"/>
      <c r="O9" s="10"/>
      <c r="P9" s="10"/>
      <c r="Q9" s="10"/>
      <c r="R9" s="10"/>
      <c r="S9" s="10"/>
      <c r="T9" s="10"/>
      <c r="U9" s="23"/>
      <c r="V9" s="23"/>
    </row>
    <row r="10" spans="1:22">
      <c r="A10" s="7" t="s">
        <v>128</v>
      </c>
      <c r="B10" s="40">
        <f>Input!E241</f>
        <v>0</v>
      </c>
      <c r="E10" s="371" t="s">
        <v>5</v>
      </c>
      <c r="F10" s="373" t="s">
        <v>112</v>
      </c>
      <c r="G10" s="100"/>
      <c r="H10" s="1"/>
      <c r="I10" s="1"/>
      <c r="J10" s="1"/>
      <c r="K10" s="1"/>
      <c r="L10" s="1"/>
      <c r="M10" s="1"/>
      <c r="N10" s="10"/>
      <c r="O10" s="10"/>
      <c r="P10" s="10"/>
      <c r="Q10" s="10"/>
      <c r="R10" s="10"/>
      <c r="S10" s="10"/>
      <c r="T10" s="10"/>
      <c r="U10" s="23"/>
      <c r="V10" s="1"/>
    </row>
    <row r="11" spans="1:22">
      <c r="A11" s="5" t="s">
        <v>129</v>
      </c>
      <c r="B11" s="40">
        <f>C8-B10</f>
        <v>0</v>
      </c>
      <c r="E11" s="371" t="s">
        <v>113</v>
      </c>
      <c r="F11" s="373" t="s">
        <v>114</v>
      </c>
      <c r="G11" s="100"/>
      <c r="H11" s="1"/>
      <c r="I11" s="1"/>
      <c r="J11" s="1"/>
      <c r="K11" s="1"/>
      <c r="L11" s="1"/>
      <c r="M11" s="1"/>
      <c r="N11" s="10"/>
      <c r="O11" s="10"/>
      <c r="P11" s="10"/>
      <c r="Q11" s="10"/>
      <c r="R11" s="10"/>
      <c r="S11" s="10"/>
      <c r="T11" s="10"/>
      <c r="U11" s="23"/>
      <c r="V11" s="1"/>
    </row>
    <row r="12" spans="1:22">
      <c r="A12" s="4"/>
      <c r="B12" s="41"/>
      <c r="E12" s="371" t="s">
        <v>115</v>
      </c>
      <c r="F12" s="372" t="s">
        <v>116</v>
      </c>
      <c r="G12" s="100"/>
      <c r="H12" s="1"/>
      <c r="I12" s="1"/>
      <c r="J12" s="1"/>
      <c r="K12" s="1"/>
      <c r="L12" s="1"/>
      <c r="M12" s="1"/>
      <c r="N12" s="10"/>
      <c r="O12" s="10"/>
      <c r="P12" s="10"/>
      <c r="Q12" s="10"/>
      <c r="R12" s="10"/>
      <c r="S12" s="10"/>
      <c r="T12" s="10"/>
      <c r="U12" s="23"/>
      <c r="V12" s="1"/>
    </row>
    <row r="13" spans="1:22">
      <c r="A13" s="5" t="s">
        <v>244</v>
      </c>
      <c r="B13" s="374">
        <f>Input!D69</f>
        <v>0.08</v>
      </c>
      <c r="C13" s="40">
        <f>ROUND(B11*B13,0)</f>
        <v>0</v>
      </c>
      <c r="E13" s="371" t="s">
        <v>117</v>
      </c>
      <c r="F13" s="372" t="s">
        <v>118</v>
      </c>
      <c r="G13" s="100"/>
      <c r="H13" s="1"/>
      <c r="I13" s="1"/>
      <c r="J13" s="1"/>
      <c r="K13" s="1"/>
      <c r="L13" s="1"/>
      <c r="M13" s="1"/>
      <c r="N13" s="10"/>
      <c r="O13" s="10"/>
      <c r="P13" s="10"/>
      <c r="Q13" s="10"/>
      <c r="R13" s="10"/>
      <c r="S13" s="10"/>
      <c r="T13" s="10"/>
      <c r="U13" s="23"/>
      <c r="V13" s="1"/>
    </row>
    <row r="14" spans="1:22" ht="16.2" thickBot="1">
      <c r="A14" s="5" t="s">
        <v>245</v>
      </c>
      <c r="B14" s="41"/>
      <c r="C14" s="375">
        <f>C13+C8</f>
        <v>0</v>
      </c>
      <c r="E14" s="371" t="s">
        <v>119</v>
      </c>
      <c r="F14" s="376" t="s">
        <v>120</v>
      </c>
      <c r="G14" s="100"/>
      <c r="H14" s="1"/>
      <c r="I14" s="1"/>
      <c r="J14" s="1"/>
      <c r="K14" s="1"/>
      <c r="L14" s="1"/>
      <c r="M14" s="1"/>
      <c r="N14" s="10"/>
      <c r="O14" s="10"/>
      <c r="P14" s="10"/>
      <c r="Q14" s="13"/>
      <c r="R14" s="14"/>
      <c r="S14" s="14"/>
      <c r="T14" s="10"/>
      <c r="U14" s="23"/>
      <c r="V14" s="1"/>
    </row>
    <row r="15" spans="1:22" ht="16.2" thickTop="1">
      <c r="A15" s="4"/>
      <c r="B15" s="41"/>
      <c r="E15" s="377"/>
      <c r="F15" s="378" t="s">
        <v>246</v>
      </c>
      <c r="G15" s="62"/>
      <c r="H15" s="1"/>
      <c r="I15" s="1"/>
      <c r="J15" s="1"/>
      <c r="K15" s="1"/>
      <c r="L15" s="1"/>
      <c r="M15" s="1"/>
      <c r="N15" s="10"/>
      <c r="O15" s="10"/>
      <c r="P15" s="10"/>
      <c r="Q15" s="13"/>
      <c r="R15" s="14"/>
      <c r="S15" s="14"/>
      <c r="T15" s="10"/>
      <c r="U15" s="23"/>
      <c r="V15" s="1"/>
    </row>
    <row r="16" spans="1:22" ht="16.2" thickBot="1">
      <c r="A16" s="38" t="s">
        <v>247</v>
      </c>
      <c r="B16" s="41"/>
      <c r="E16" s="102"/>
      <c r="F16" s="379" t="s">
        <v>248</v>
      </c>
      <c r="G16" s="87"/>
      <c r="H16" s="1"/>
      <c r="I16" s="1"/>
      <c r="J16" s="1"/>
      <c r="K16" s="1"/>
      <c r="L16" s="1"/>
      <c r="M16" s="1"/>
      <c r="N16" s="10"/>
      <c r="O16" s="10"/>
      <c r="P16" s="10"/>
      <c r="Q16" s="13"/>
      <c r="R16" s="14"/>
      <c r="S16" s="14"/>
      <c r="T16" s="10"/>
      <c r="U16" s="23"/>
      <c r="V16" s="1"/>
    </row>
    <row r="17" spans="1:57" ht="19.2" thickTop="1" thickBot="1">
      <c r="A17" s="38" t="s">
        <v>249</v>
      </c>
      <c r="C17" s="380">
        <f>Input!C251</f>
        <v>0</v>
      </c>
      <c r="E17" s="381" t="s">
        <v>250</v>
      </c>
      <c r="F17" s="143"/>
      <c r="G17" s="58"/>
      <c r="H17" s="1"/>
      <c r="I17" s="1"/>
      <c r="J17" s="1"/>
      <c r="K17" s="1"/>
      <c r="L17" s="1"/>
      <c r="M17" s="1"/>
      <c r="N17" s="10"/>
      <c r="O17" s="10"/>
      <c r="P17" s="10"/>
      <c r="Q17" s="13"/>
      <c r="R17" s="14"/>
      <c r="S17" s="14"/>
      <c r="T17" s="10"/>
      <c r="U17" s="23"/>
      <c r="V17" s="1"/>
    </row>
    <row r="18" spans="1:57" ht="16.2" thickTop="1">
      <c r="A18" s="1"/>
      <c r="D18" s="102"/>
      <c r="E18" s="378" t="s">
        <v>251</v>
      </c>
      <c r="F18" s="382"/>
      <c r="G18" s="383"/>
      <c r="H18" s="1"/>
      <c r="I18" s="1"/>
      <c r="J18" s="1"/>
      <c r="K18" s="1"/>
      <c r="L18" s="1"/>
      <c r="M18" s="1"/>
      <c r="N18" s="10"/>
      <c r="O18" s="10"/>
      <c r="P18" s="10"/>
      <c r="Q18" s="13"/>
      <c r="R18" s="14"/>
      <c r="S18" s="14"/>
      <c r="T18" s="10"/>
      <c r="U18" s="23"/>
      <c r="V18" s="1"/>
    </row>
    <row r="19" spans="1:57" ht="18">
      <c r="C19" s="384" t="s">
        <v>252</v>
      </c>
      <c r="D19" s="222"/>
      <c r="E19" s="379" t="s">
        <v>253</v>
      </c>
      <c r="F19" s="385"/>
      <c r="G19" s="386"/>
      <c r="H19" s="1"/>
      <c r="I19" s="1"/>
      <c r="J19" s="1"/>
      <c r="K19" s="1"/>
      <c r="L19" s="1"/>
      <c r="M19" s="1"/>
      <c r="N19" s="10"/>
      <c r="O19" s="10"/>
      <c r="P19" s="10"/>
      <c r="Q19" s="13"/>
      <c r="R19" s="14"/>
      <c r="S19" s="14"/>
      <c r="T19" s="10"/>
      <c r="U19" s="23"/>
      <c r="V19" s="1"/>
    </row>
    <row r="20" spans="1:57">
      <c r="A20" s="1"/>
      <c r="E20" s="102"/>
      <c r="F20" s="387"/>
      <c r="G20" s="387"/>
      <c r="H20" s="1"/>
      <c r="I20" s="1"/>
      <c r="J20" s="1"/>
      <c r="K20" s="1"/>
      <c r="L20" s="1"/>
      <c r="M20" s="1"/>
      <c r="N20" s="10"/>
      <c r="O20" s="10"/>
      <c r="P20" s="10"/>
      <c r="Q20" s="15"/>
      <c r="R20" s="14"/>
      <c r="S20" s="14"/>
      <c r="T20" s="10"/>
      <c r="U20" s="23"/>
      <c r="V20" s="1"/>
    </row>
    <row r="21" spans="1:57">
      <c r="A21" s="6" t="s">
        <v>254</v>
      </c>
      <c r="B21" s="388" t="s">
        <v>255</v>
      </c>
      <c r="C21" s="389" t="s">
        <v>255</v>
      </c>
      <c r="D21" s="388" t="s">
        <v>232</v>
      </c>
      <c r="E21" s="389" t="s">
        <v>255</v>
      </c>
      <c r="F21" s="388" t="s">
        <v>256</v>
      </c>
      <c r="G21" s="388" t="s">
        <v>257</v>
      </c>
      <c r="H21" s="1"/>
      <c r="I21" s="1"/>
      <c r="J21" s="1"/>
      <c r="K21" s="1"/>
      <c r="L21" s="1"/>
      <c r="M21" s="1"/>
      <c r="N21" s="10"/>
      <c r="O21" s="10"/>
      <c r="P21" s="10"/>
      <c r="Q21" s="10"/>
      <c r="R21" s="10"/>
      <c r="S21" s="10"/>
      <c r="T21" s="10"/>
      <c r="U21" s="23"/>
      <c r="V21" s="1"/>
    </row>
    <row r="22" spans="1:57">
      <c r="A22" s="3" t="s">
        <v>258</v>
      </c>
      <c r="B22" s="390" t="s">
        <v>259</v>
      </c>
      <c r="C22" s="391" t="s">
        <v>260</v>
      </c>
      <c r="D22" s="390" t="s">
        <v>261</v>
      </c>
      <c r="E22" s="390" t="s">
        <v>175</v>
      </c>
      <c r="F22" s="390" t="s">
        <v>262</v>
      </c>
      <c r="G22" s="390" t="s">
        <v>263</v>
      </c>
      <c r="H22" s="1"/>
      <c r="I22" s="16"/>
      <c r="J22" s="22"/>
      <c r="K22" s="24" t="s">
        <v>264</v>
      </c>
      <c r="L22" s="24" t="s">
        <v>265</v>
      </c>
      <c r="M22" s="25" t="s">
        <v>266</v>
      </c>
      <c r="N22" s="26" t="s">
        <v>267</v>
      </c>
      <c r="O22" s="26" t="s">
        <v>268</v>
      </c>
      <c r="P22" s="26" t="s">
        <v>269</v>
      </c>
      <c r="Q22" s="26" t="s">
        <v>270</v>
      </c>
      <c r="R22" s="26" t="s">
        <v>271</v>
      </c>
      <c r="S22" s="24" t="s">
        <v>272</v>
      </c>
      <c r="T22" s="24" t="s">
        <v>273</v>
      </c>
      <c r="U22" s="24" t="s">
        <v>274</v>
      </c>
      <c r="V22" s="34" t="s">
        <v>98</v>
      </c>
      <c r="W22" s="21"/>
      <c r="X22" s="21"/>
      <c r="Y22" s="21"/>
      <c r="Z22" s="21"/>
      <c r="AA22" s="21"/>
      <c r="AB22" s="21"/>
      <c r="AC22" s="21"/>
      <c r="AD22" s="21"/>
      <c r="AE22" s="21"/>
      <c r="AF22" s="21"/>
      <c r="AG22" s="21"/>
      <c r="AH22" s="21"/>
      <c r="AI22" s="21"/>
      <c r="AJ22" s="21"/>
      <c r="AK22" s="21"/>
      <c r="AL22" s="21"/>
      <c r="AM22" s="21"/>
      <c r="AN22" s="21"/>
      <c r="AO22" s="21"/>
      <c r="AP22" s="21"/>
      <c r="AQ22" s="21"/>
      <c r="AR22" s="21"/>
      <c r="AS22" s="20"/>
      <c r="AT22" s="20"/>
      <c r="AU22" s="11"/>
      <c r="AV22" s="11"/>
      <c r="AW22" s="11"/>
      <c r="AX22" s="11"/>
      <c r="AY22" s="11"/>
      <c r="AZ22" s="11"/>
      <c r="BA22" s="11"/>
      <c r="BB22" s="11"/>
      <c r="BC22" s="11"/>
      <c r="BD22" s="11"/>
      <c r="BE22" s="11"/>
    </row>
    <row r="23" spans="1:57">
      <c r="A23" s="18" t="str">
        <f>IF(Input!D188&gt;" ",IF(MID(Input!D188,4,8)="25-99-00"," ",IF(MID(Input!D188,4,8)="37-99-00"," ",MID(Input!D188,4,8)))," ")</f>
        <v xml:space="preserve"> </v>
      </c>
      <c r="B23" s="392" t="str">
        <f>IF(Input!D188&gt;" ",IF(MID(Input!D188,4,8)="25-99-00"," ",IF(MID(Input!D188,4,8)="37-99-00"," ",MID(Input!D188,17,9)))," ")</f>
        <v xml:space="preserve"> </v>
      </c>
      <c r="C23" s="170" t="str">
        <f>IF(Input!D188&gt;" ",IF(MID(Input!D188,4,8)="25-99-00"," ",IF(MID(Input!D188,4,8)="37-99-00"," ",MID(Input!D188,29,24)))," ")</f>
        <v xml:space="preserve"> </v>
      </c>
      <c r="D23" s="392" t="str">
        <f>IF(Input!D188&gt;" ",IF(MID(Input!D188,4,8)="25-99-00"," ",IF(MID(Input!D188,4,8)="37-99-00"," ",MID(Input!D188,56,10)))," ")</f>
        <v xml:space="preserve"> </v>
      </c>
      <c r="E23" s="393" t="str">
        <f>IF(Input!D188&gt;" ",IF(MID(Input!D188,4,8)="25-99-00"," ",IF(MID(Input!D188,4,8)="37-99-00"," ",IF(ROUND(VALUE(MID(Input!D188,67,14)),0)&gt;0,ROUND(VALUE(MID(Input!D188,67,14)),0),IF(ROUNDUP(VALUE(MID(Input!D188,67,14)),0)=1,1))))," ")</f>
        <v xml:space="preserve"> </v>
      </c>
      <c r="F23" s="394" t="str">
        <f>IF(Input!D188&gt;" ",IF(G23="**",E23,0),"")</f>
        <v/>
      </c>
      <c r="G23" s="395" t="str">
        <f>Input!E212</f>
        <v xml:space="preserve"> </v>
      </c>
      <c r="H23" s="1"/>
      <c r="I23" s="16"/>
      <c r="J23" s="22"/>
      <c r="K23" s="27" t="b">
        <f>IF(Input!$D188&gt;" ",IF(MID(Input!$D188,5,4)="1-50",$F23," "))</f>
        <v>0</v>
      </c>
      <c r="L23" s="27" t="b">
        <f>IF(Input!$D188&gt;" ",IF(MID(Input!$D188,5,4)="1-90",$F23," "))</f>
        <v>0</v>
      </c>
      <c r="M23" s="27" t="b">
        <f>IF(Input!$D188&gt;" ",IF(MID(Input!$D188,5,1)="2",$F23," "))</f>
        <v>0</v>
      </c>
      <c r="N23" s="27" t="b">
        <f>IF(Input!$D188&gt;" ",IF(MID(Input!$D188,5,1)="3",$F23," "))</f>
        <v>0</v>
      </c>
      <c r="O23" s="27" t="b">
        <f>IF(Input!$D188&gt;" ",IF(MID(Input!$D188,5,4)="3-62",F23," "))</f>
        <v>0</v>
      </c>
      <c r="P23" s="27" t="b">
        <f>IF(Input!$D188&gt;" ",IF(MID(Input!$D188,5,1)="4",$F23," "))</f>
        <v>0</v>
      </c>
      <c r="Q23" s="27" t="b">
        <f>IF(Input!$D188&gt;" ",IF(MID(Input!$D188,5,1)="5",$F23," "))</f>
        <v>0</v>
      </c>
      <c r="R23" s="27" t="b">
        <f>IF(Input!$D188&gt;" ",IF(MID(Input!$D188,5,1)="6",$F23," "))</f>
        <v>0</v>
      </c>
      <c r="S23" s="27" t="b">
        <f>IF(Input!$D188&gt;" ",IF(MID(Input!$D188,5,1)="7",$F23," "))</f>
        <v>0</v>
      </c>
      <c r="T23" s="27" t="b">
        <f>IF(Input!$D188&gt;" ",IF(MID(Input!$D188,5,4)="8-02",$F23," "))</f>
        <v>0</v>
      </c>
      <c r="U23" s="27" t="b">
        <f>IF(Input!$D188&gt;" ",IF(MID(Input!$D188,5,4)="8-05",$F23," "))</f>
        <v>0</v>
      </c>
      <c r="V23" s="35">
        <f t="shared" ref="V23:V50" si="0">SUM(K23:U23)</f>
        <v>0</v>
      </c>
      <c r="W23" s="12"/>
      <c r="X23" s="12"/>
      <c r="Y23" s="12"/>
      <c r="Z23" s="12"/>
      <c r="AA23" s="12"/>
      <c r="AB23" s="12"/>
      <c r="AC23" s="12"/>
      <c r="AD23" s="12"/>
      <c r="AE23" s="12"/>
      <c r="AF23" s="12"/>
      <c r="AG23" s="12"/>
      <c r="AH23" s="12"/>
      <c r="AI23" s="12"/>
      <c r="AJ23" s="12"/>
      <c r="AK23" s="12"/>
      <c r="AL23" s="12"/>
      <c r="AM23" s="12"/>
      <c r="AN23" s="12"/>
      <c r="AO23" s="12"/>
      <c r="AP23" s="12"/>
      <c r="AQ23" s="12"/>
      <c r="AR23" s="12"/>
      <c r="AS23" s="11"/>
      <c r="AT23" s="11"/>
      <c r="AU23" s="11"/>
      <c r="AV23" s="11"/>
      <c r="AW23" s="11"/>
      <c r="AX23" s="11"/>
      <c r="AY23" s="11"/>
      <c r="AZ23" s="11"/>
      <c r="BA23" s="11"/>
      <c r="BB23" s="11"/>
      <c r="BC23" s="11"/>
      <c r="BD23" s="11"/>
      <c r="BE23" s="11"/>
    </row>
    <row r="24" spans="1:57">
      <c r="A24" s="18" t="str">
        <f>IF(Input!D189&gt;" ",IF(MID(Input!D189,4,8)="25-99-00"," ",IF(MID(Input!D189,4,8)="37-99-00"," ",MID(Input!D189,4,8)))," ")</f>
        <v xml:space="preserve"> </v>
      </c>
      <c r="B24" s="392" t="str">
        <f>IF(Input!D189&gt;" ",IF(MID(Input!D189,4,8)="25-99-00"," ",IF(MID(Input!D189,4,8)="37-99-00"," ",MID(Input!D189,17,9)))," ")</f>
        <v xml:space="preserve"> </v>
      </c>
      <c r="C24" s="170" t="str">
        <f>IF(Input!D189&gt;" ",IF(MID(Input!D189,4,8)="25-99-00"," ",IF(MID(Input!D189,4,8)="37-99-00"," ",MID(Input!D189,29,24)))," ")</f>
        <v xml:space="preserve"> </v>
      </c>
      <c r="D24" s="392" t="str">
        <f>IF(Input!D189&gt;" ",IF(MID(Input!D189,4,8)="25-99-00"," ",IF(MID(Input!D189,4,8)="37-99-00"," ",MID(Input!D189,56,10)))," ")</f>
        <v xml:space="preserve"> </v>
      </c>
      <c r="E24" s="393" t="str">
        <f>IF(Input!D189&gt;" ",IF(MID(Input!D189,4,8)="25-99-00"," ",IF(MID(Input!D189,4,8)="37-99-00"," ",IF(ROUND(VALUE(MID(Input!D189,67,14)),0)&gt;0,ROUND(VALUE(MID(Input!D189,67,14)),0),IF(ROUNDUP(VALUE(MID(Input!D189,67,14)),0)=1,1))))," ")</f>
        <v xml:space="preserve"> </v>
      </c>
      <c r="F24" s="394" t="str">
        <f>IF(Input!D189&gt;" ",IF(G24="**",E24,0),"")</f>
        <v/>
      </c>
      <c r="G24" s="396" t="str">
        <f>Input!E213</f>
        <v xml:space="preserve"> </v>
      </c>
      <c r="H24" s="1"/>
      <c r="I24" s="16"/>
      <c r="J24" s="22"/>
      <c r="K24" s="27" t="b">
        <f>IF(Input!D189&gt;" ",IF(MID(Input!$D189,5,4)="1-50",$F24," "))</f>
        <v>0</v>
      </c>
      <c r="L24" s="27" t="b">
        <f>IF(Input!$D189&gt;" ",IF(MID(Input!$D189,5,4)="1-90",$F24," "))</f>
        <v>0</v>
      </c>
      <c r="M24" s="27" t="b">
        <f>IF(Input!$D189&gt;" ",IF(MID(Input!$D189,5,1)="2",$F24," "))</f>
        <v>0</v>
      </c>
      <c r="N24" s="27" t="b">
        <f>IF(Input!$D189&gt;" ",IF(MID(Input!$D189,5,1)="3",$F24," "))</f>
        <v>0</v>
      </c>
      <c r="O24" s="27" t="b">
        <f>IF(Input!$D189&gt;" ",IF(MID(Input!$D189,5,4)="3-62",F24," "))</f>
        <v>0</v>
      </c>
      <c r="P24" s="27" t="b">
        <f>IF(Input!$D189&gt;" ",IF(MID(Input!$D189,5,1)="4",$F24," "))</f>
        <v>0</v>
      </c>
      <c r="Q24" s="27" t="b">
        <f>IF(Input!$D189&gt;" ",IF(MID(Input!$D189,5,1)="5",$F24," "))</f>
        <v>0</v>
      </c>
      <c r="R24" s="27" t="b">
        <f>IF(Input!$D189&gt;" ",IF(MID(Input!$D189,5,1)="6",$F24," "))</f>
        <v>0</v>
      </c>
      <c r="S24" s="27" t="b">
        <f>IF(Input!$D189&gt;" ",IF(MID(Input!$D189,5,1)="7",$F24," "))</f>
        <v>0</v>
      </c>
      <c r="T24" s="27" t="b">
        <f>IF(Input!$D189&gt;" ",IF(MID(Input!$D189,5,4)="8-02",$F24," "))</f>
        <v>0</v>
      </c>
      <c r="U24" s="27" t="b">
        <f>IF(Input!$D189&gt;" ",IF(MID(Input!$D189,5,4)="8-05",$F24," "))</f>
        <v>0</v>
      </c>
      <c r="V24" s="27">
        <f t="shared" si="0"/>
        <v>0</v>
      </c>
      <c r="W24" s="12"/>
      <c r="X24" s="12"/>
      <c r="Y24" s="12"/>
      <c r="Z24" s="12"/>
      <c r="AA24" s="12"/>
      <c r="AB24" s="12"/>
      <c r="AC24" s="12"/>
      <c r="AD24" s="12"/>
      <c r="AE24" s="12"/>
      <c r="AF24" s="12"/>
      <c r="AG24" s="12"/>
      <c r="AH24" s="12"/>
      <c r="AI24" s="12"/>
      <c r="AJ24" s="12"/>
      <c r="AK24" s="12"/>
      <c r="AL24" s="12"/>
      <c r="AM24" s="12"/>
      <c r="AN24" s="12"/>
      <c r="AO24" s="12"/>
      <c r="AP24" s="12"/>
      <c r="AQ24" s="12"/>
      <c r="AR24" s="12"/>
      <c r="AS24" s="11"/>
      <c r="AT24" s="11"/>
      <c r="AU24" s="11"/>
      <c r="AV24" s="11"/>
      <c r="AW24" s="11"/>
      <c r="AX24" s="11"/>
      <c r="AY24" s="11"/>
      <c r="AZ24" s="11"/>
      <c r="BA24" s="11"/>
      <c r="BB24" s="11"/>
      <c r="BC24" s="11"/>
      <c r="BD24" s="11"/>
      <c r="BE24" s="11"/>
    </row>
    <row r="25" spans="1:57">
      <c r="A25" s="18" t="str">
        <f>IF(Input!D190&gt;" ",IF(MID(Input!D190,4,8)="25-99-00"," ",IF(MID(Input!D190,4,8)="37-99-00"," ",MID(Input!D190,4,8)))," ")</f>
        <v xml:space="preserve"> </v>
      </c>
      <c r="B25" s="392" t="str">
        <f>IF(Input!D190&gt;" ",IF(MID(Input!D190,4,8)="25-99-00"," ",IF(MID(Input!D190,4,8)="37-99-00"," ",MID(Input!D190,17,9)))," ")</f>
        <v xml:space="preserve"> </v>
      </c>
      <c r="C25" s="170" t="str">
        <f>IF(Input!D190&gt;" ",IF(MID(Input!D190,4,8)="25-99-00"," ",IF(MID(Input!D190,4,8)="37-99-00"," ",MID(Input!D190,29,24)))," ")</f>
        <v xml:space="preserve"> </v>
      </c>
      <c r="D25" s="392" t="str">
        <f>IF(Input!D190&gt;" ",IF(MID(Input!D190,4,8)="25-99-00"," ",IF(MID(Input!D190,4,8)="37-99-00"," ",MID(Input!D190,56,10)))," ")</f>
        <v xml:space="preserve"> </v>
      </c>
      <c r="E25" s="393" t="str">
        <f>IF(Input!D190&gt;" ",IF(MID(Input!D190,4,8)="25-99-00"," ",IF(MID(Input!D190,4,8)="37-99-00"," ",IF(ROUND(VALUE(MID(Input!D190,67,14)),0)&gt;0,ROUND(VALUE(MID(Input!D190,67,14)),0),IF(ROUNDUP(VALUE(MID(Input!D190,67,14)),0)=1,1))))," ")</f>
        <v xml:space="preserve"> </v>
      </c>
      <c r="F25" s="394" t="str">
        <f>IF(Input!D190&gt;" ",IF(G25="**",E25,0),"")</f>
        <v/>
      </c>
      <c r="G25" s="396" t="str">
        <f>Input!E214</f>
        <v xml:space="preserve"> </v>
      </c>
      <c r="H25" s="1"/>
      <c r="I25" s="16"/>
      <c r="J25" s="22"/>
      <c r="K25" s="27" t="b">
        <f>IF(Input!D190&gt;" ",IF(MID(Input!$D190,5,4)="1-50",$F25," "))</f>
        <v>0</v>
      </c>
      <c r="L25" s="27" t="b">
        <f>IF(Input!$D190&gt;" ",IF(MID(Input!$D190,5,4)="1-90",$F25," "))</f>
        <v>0</v>
      </c>
      <c r="M25" s="27" t="b">
        <f>IF(Input!$D190&gt;" ",IF(MID(Input!$D190,5,1)="2",$F25," "))</f>
        <v>0</v>
      </c>
      <c r="N25" s="27" t="b">
        <f>IF(Input!$D190&gt;" ",IF(MID(Input!$D190,5,1)="3",$F25," "))</f>
        <v>0</v>
      </c>
      <c r="O25" s="27" t="b">
        <f>IF(Input!$D190&gt;" ",IF(MID(Input!$D190,5,4)="3-62",F25," "))</f>
        <v>0</v>
      </c>
      <c r="P25" s="27" t="b">
        <f>IF(Input!$D190&gt;" ",IF(MID(Input!$D190,5,1)="4",$F25," "))</f>
        <v>0</v>
      </c>
      <c r="Q25" s="27" t="b">
        <f>IF(Input!$D190&gt;" ",IF(MID(Input!$D190,5,1)="5",$F25," "))</f>
        <v>0</v>
      </c>
      <c r="R25" s="27" t="b">
        <f>IF(Input!$D190&gt;" ",IF(MID(Input!$D190,5,1)="6",$F25," "))</f>
        <v>0</v>
      </c>
      <c r="S25" s="27" t="b">
        <f>IF(Input!$D190&gt;" ",IF(MID(Input!$D190,5,1)="7",$F25," "))</f>
        <v>0</v>
      </c>
      <c r="T25" s="27" t="b">
        <f>IF(Input!$D190&gt;" ",IF(MID(Input!$D190,5,4)="8-02",$F25," "))</f>
        <v>0</v>
      </c>
      <c r="U25" s="27" t="b">
        <f>IF(Input!$D190&gt;" ",IF(MID(Input!$D190,5,4)="8-05",$F25," "))</f>
        <v>0</v>
      </c>
      <c r="V25" s="27">
        <f t="shared" si="0"/>
        <v>0</v>
      </c>
      <c r="W25" s="12"/>
      <c r="X25" s="12"/>
      <c r="Y25" s="12"/>
      <c r="Z25" s="12"/>
      <c r="AA25" s="12"/>
      <c r="AB25" s="12"/>
      <c r="AC25" s="12"/>
      <c r="AD25" s="12"/>
      <c r="AE25" s="12"/>
      <c r="AF25" s="12"/>
      <c r="AG25" s="12"/>
      <c r="AH25" s="12"/>
      <c r="AI25" s="12"/>
      <c r="AJ25" s="12"/>
      <c r="AK25" s="12"/>
      <c r="AL25" s="12"/>
      <c r="AM25" s="12"/>
      <c r="AN25" s="12"/>
      <c r="AO25" s="12"/>
      <c r="AP25" s="12"/>
      <c r="AQ25" s="12"/>
      <c r="AR25" s="12"/>
      <c r="AS25" s="11"/>
      <c r="AT25" s="11"/>
      <c r="AU25" s="11"/>
      <c r="AV25" s="11"/>
      <c r="AW25" s="11"/>
      <c r="AX25" s="11"/>
      <c r="AY25" s="11"/>
      <c r="AZ25" s="11"/>
      <c r="BA25" s="11"/>
      <c r="BB25" s="11"/>
      <c r="BC25" s="11"/>
      <c r="BD25" s="11"/>
      <c r="BE25" s="11"/>
    </row>
    <row r="26" spans="1:57">
      <c r="A26" s="18" t="str">
        <f>IF(Input!D191&gt;" ",IF(MID(Input!D191,4,8)="25-99-00"," ",IF(MID(Input!D191,4,8)="37-99-00"," ",MID(Input!D191,4,8)))," ")</f>
        <v xml:space="preserve"> </v>
      </c>
      <c r="B26" s="392" t="str">
        <f>IF(Input!D191&gt;" ",IF(MID(Input!D191,4,8)="25-99-00"," ",IF(MID(Input!D191,4,8)="37-99-00"," ",MID(Input!D191,17,9)))," ")</f>
        <v xml:space="preserve"> </v>
      </c>
      <c r="C26" s="170" t="str">
        <f>IF(Input!D191&gt;" ",IF(MID(Input!D191,4,8)="25-99-00"," ",IF(MID(Input!D191,4,8)="37-99-00"," ",MID(Input!D191,29,24)))," ")</f>
        <v xml:space="preserve"> </v>
      </c>
      <c r="D26" s="392" t="str">
        <f>IF(Input!D191&gt;" ",IF(MID(Input!D191,4,8)="25-99-00"," ",IF(MID(Input!D191,4,8)="37-99-00"," ",MID(Input!D191,56,10)))," ")</f>
        <v xml:space="preserve"> </v>
      </c>
      <c r="E26" s="393" t="str">
        <f>IF(Input!D191&gt;" ",IF(MID(Input!D191,4,8)="25-99-00"," ",IF(MID(Input!D191,4,8)="37-99-00"," ",IF(ROUND(VALUE(MID(Input!D191,67,14)),0)&gt;0,ROUND(VALUE(MID(Input!D191,67,14)),0),IF(ROUNDUP(VALUE(MID(Input!D191,67,14)),0)=1,1))))," ")</f>
        <v xml:space="preserve"> </v>
      </c>
      <c r="F26" s="394" t="str">
        <f>IF(Input!D191&gt;" ",IF(G26="**",E26,0),"")</f>
        <v/>
      </c>
      <c r="G26" s="396" t="str">
        <f>Input!E215</f>
        <v xml:space="preserve"> </v>
      </c>
      <c r="H26" s="1"/>
      <c r="I26" s="16"/>
      <c r="J26" s="22"/>
      <c r="K26" s="27" t="b">
        <f>IF(Input!D191&gt;" ",IF(MID(Input!$D191,5,4)="1-50",$F26," "))</f>
        <v>0</v>
      </c>
      <c r="L26" s="27" t="b">
        <f>IF(Input!$D191&gt;" ",IF(MID(Input!$D191,5,4)="1-90",$F26," "))</f>
        <v>0</v>
      </c>
      <c r="M26" s="27" t="b">
        <f>IF(Input!$D191&gt;" ",IF(MID(Input!$D191,5,1)="2",$F26," "))</f>
        <v>0</v>
      </c>
      <c r="N26" s="27" t="b">
        <f>IF(Input!$D191&gt;" ",IF(MID(Input!$D191,5,1)="3",$F26," "))</f>
        <v>0</v>
      </c>
      <c r="O26" s="27" t="b">
        <f>IF(Input!$D191&gt;" ",IF(MID(Input!$D191,5,4)="3-62",F26," "))</f>
        <v>0</v>
      </c>
      <c r="P26" s="27" t="b">
        <f>IF(Input!$D191&gt;" ",IF(MID(Input!$D191,5,1)="4",$F26," "))</f>
        <v>0</v>
      </c>
      <c r="Q26" s="27" t="b">
        <f>IF(Input!$D191&gt;" ",IF(MID(Input!$D191,5,1)="5",$F26," "))</f>
        <v>0</v>
      </c>
      <c r="R26" s="27" t="b">
        <f>IF(Input!$D191&gt;" ",IF(MID(Input!$D191,5,1)="6",$F26," "))</f>
        <v>0</v>
      </c>
      <c r="S26" s="27" t="b">
        <f>IF(Input!$D191&gt;" ",IF(MID(Input!$D191,5,1)="7",$F26," "))</f>
        <v>0</v>
      </c>
      <c r="T26" s="27" t="b">
        <f>IF(Input!$D191&gt;" ",IF(MID(Input!$D191,5,4)="8-02",$F26," "))</f>
        <v>0</v>
      </c>
      <c r="U26" s="27" t="b">
        <f>IF(Input!$D191&gt;" ",IF(MID(Input!$D191,5,4)="8-05",$F26," "))</f>
        <v>0</v>
      </c>
      <c r="V26" s="27">
        <f t="shared" si="0"/>
        <v>0</v>
      </c>
      <c r="W26" s="12"/>
      <c r="X26" s="12"/>
      <c r="Y26" s="12"/>
      <c r="Z26" s="12"/>
      <c r="AA26" s="12"/>
      <c r="AB26" s="12"/>
      <c r="AC26" s="12"/>
      <c r="AD26" s="12"/>
      <c r="AE26" s="12"/>
      <c r="AF26" s="12"/>
      <c r="AG26" s="12"/>
      <c r="AH26" s="12"/>
      <c r="AI26" s="12"/>
      <c r="AJ26" s="12"/>
      <c r="AK26" s="12"/>
      <c r="AL26" s="12"/>
      <c r="AM26" s="12"/>
      <c r="AN26" s="12"/>
      <c r="AO26" s="12"/>
      <c r="AP26" s="12"/>
      <c r="AQ26" s="12"/>
      <c r="AR26" s="12"/>
      <c r="AS26" s="11"/>
      <c r="AT26" s="11"/>
      <c r="AU26" s="11"/>
      <c r="AV26" s="11"/>
      <c r="AW26" s="11"/>
      <c r="AX26" s="11"/>
      <c r="AY26" s="11"/>
      <c r="AZ26" s="11"/>
      <c r="BA26" s="11"/>
      <c r="BB26" s="11"/>
      <c r="BC26" s="11"/>
      <c r="BD26" s="11"/>
      <c r="BE26" s="11"/>
    </row>
    <row r="27" spans="1:57">
      <c r="A27" s="18" t="str">
        <f>IF(Input!D192&gt;" ",IF(MID(Input!D192,4,8)="25-99-00"," ",IF(MID(Input!D192,4,8)="37-99-00"," ",MID(Input!D192,4,8)))," ")</f>
        <v xml:space="preserve"> </v>
      </c>
      <c r="B27" s="392" t="str">
        <f>IF(Input!D192&gt;" ",IF(MID(Input!D192,4,8)="25-99-00"," ",IF(MID(Input!D192,4,8)="37-99-00"," ",MID(Input!D192,17,9)))," ")</f>
        <v xml:space="preserve"> </v>
      </c>
      <c r="C27" s="170" t="str">
        <f>IF(Input!D192&gt;" ",IF(MID(Input!D192,4,8)="25-99-00"," ",IF(MID(Input!D192,4,8)="37-99-00"," ",MID(Input!D192,29,24)))," ")</f>
        <v xml:space="preserve"> </v>
      </c>
      <c r="D27" s="392" t="str">
        <f>IF(Input!D192&gt;" ",IF(MID(Input!D192,4,8)="25-99-00"," ",IF(MID(Input!D192,4,8)="37-99-00"," ",MID(Input!D192,56,10)))," ")</f>
        <v xml:space="preserve"> </v>
      </c>
      <c r="E27" s="393" t="str">
        <f>IF(Input!D192&gt;" ",IF(MID(Input!D192,4,8)="25-99-00"," ",IF(MID(Input!D192,4,8)="37-99-00"," ",IF(ROUND(VALUE(MID(Input!D192,67,14)),0)&gt;0,ROUND(VALUE(MID(Input!D192,67,14)),0),IF(ROUNDUP(VALUE(MID(Input!D192,67,14)),0)=1,1))))," ")</f>
        <v xml:space="preserve"> </v>
      </c>
      <c r="F27" s="394" t="str">
        <f>IF(Input!D192&gt;" ",IF(G27="**",E27,0),"")</f>
        <v/>
      </c>
      <c r="G27" s="396" t="str">
        <f>Input!E216</f>
        <v xml:space="preserve"> </v>
      </c>
      <c r="H27" s="1"/>
      <c r="I27" s="16"/>
      <c r="J27" s="22"/>
      <c r="K27" s="27" t="b">
        <f>IF(Input!D192&gt;" ",IF(MID(Input!$D192,5,4)="1-50",$F27," "))</f>
        <v>0</v>
      </c>
      <c r="L27" s="27" t="b">
        <f>IF(Input!$D192&gt;" ",IF(MID(Input!$D192,5,4)="1-90",$F27," "))</f>
        <v>0</v>
      </c>
      <c r="M27" s="27" t="b">
        <f>IF(Input!$D192&gt;" ",IF(MID(Input!$D192,5,1)="2",$F27," "))</f>
        <v>0</v>
      </c>
      <c r="N27" s="27" t="b">
        <f>IF(Input!$D192&gt;" ",IF(MID(Input!$D192,5,1)="3",$F27," "))</f>
        <v>0</v>
      </c>
      <c r="O27" s="27" t="b">
        <f>IF(Input!$D192&gt;" ",IF(MID(Input!$D192,5,4)="3-62",F27," "))</f>
        <v>0</v>
      </c>
      <c r="P27" s="27" t="b">
        <f>IF(Input!$D192&gt;" ",IF(MID(Input!$D192,5,1)="4",$F27," "))</f>
        <v>0</v>
      </c>
      <c r="Q27" s="27" t="b">
        <f>IF(Input!$D192&gt;" ",IF(MID(Input!$D192,5,1)="5",$F27," "))</f>
        <v>0</v>
      </c>
      <c r="R27" s="27" t="b">
        <f>IF(Input!$D192&gt;" ",IF(MID(Input!$D192,5,1)="6",$F27," "))</f>
        <v>0</v>
      </c>
      <c r="S27" s="27" t="b">
        <f>IF(Input!$D192&gt;" ",IF(MID(Input!$D192,5,1)="7",$F27," "))</f>
        <v>0</v>
      </c>
      <c r="T27" s="27" t="b">
        <f>IF(Input!$D192&gt;" ",IF(MID(Input!$D192,5,4)="8-02",$F27," "))</f>
        <v>0</v>
      </c>
      <c r="U27" s="27" t="b">
        <f>IF(Input!$D192&gt;" ",IF(MID(Input!$D192,5,4)="8-05",$F27," "))</f>
        <v>0</v>
      </c>
      <c r="V27" s="27">
        <f t="shared" si="0"/>
        <v>0</v>
      </c>
      <c r="W27" s="12"/>
      <c r="X27" s="12"/>
      <c r="Y27" s="12"/>
      <c r="Z27" s="12"/>
      <c r="AA27" s="12"/>
      <c r="AB27" s="12"/>
      <c r="AC27" s="12"/>
      <c r="AD27" s="12"/>
      <c r="AE27" s="12"/>
      <c r="AF27" s="12"/>
      <c r="AG27" s="12"/>
      <c r="AH27" s="12"/>
      <c r="AI27" s="12"/>
      <c r="AJ27" s="12"/>
      <c r="AK27" s="12"/>
      <c r="AL27" s="12"/>
      <c r="AM27" s="12"/>
      <c r="AN27" s="12"/>
      <c r="AO27" s="12"/>
      <c r="AP27" s="12"/>
      <c r="AQ27" s="12"/>
      <c r="AR27" s="12"/>
      <c r="AS27" s="11"/>
      <c r="AT27" s="11"/>
      <c r="AU27" s="11"/>
      <c r="AV27" s="11"/>
      <c r="AW27" s="11"/>
      <c r="AX27" s="11"/>
      <c r="AY27" s="11"/>
      <c r="AZ27" s="11"/>
      <c r="BA27" s="11"/>
      <c r="BB27" s="11"/>
      <c r="BC27" s="11"/>
      <c r="BD27" s="11"/>
      <c r="BE27" s="11"/>
    </row>
    <row r="28" spans="1:57">
      <c r="A28" s="18" t="str">
        <f>IF(Input!D193&gt;" ",IF(MID(Input!D193,4,8)="25-99-00"," ",IF(MID(Input!D193,4,8)="37-99-00"," ",MID(Input!D193,4,8)))," ")</f>
        <v xml:space="preserve"> </v>
      </c>
      <c r="B28" s="392" t="str">
        <f>IF(Input!D193&gt;" ",IF(MID(Input!D193,4,8)="25-99-00"," ",IF(MID(Input!D193,4,8)="37-99-00"," ",MID(Input!D193,17,9)))," ")</f>
        <v xml:space="preserve"> </v>
      </c>
      <c r="C28" s="170" t="str">
        <f>IF(Input!D193&gt;" ",IF(MID(Input!D193,4,8)="25-99-00"," ",IF(MID(Input!D193,4,8)="37-99-00"," ",MID(Input!D193,29,24)))," ")</f>
        <v xml:space="preserve"> </v>
      </c>
      <c r="D28" s="392" t="str">
        <f>IF(Input!D193&gt;" ",IF(MID(Input!D193,4,8)="25-99-00"," ",IF(MID(Input!D193,4,8)="37-99-00"," ",MID(Input!D193,56,10)))," ")</f>
        <v xml:space="preserve"> </v>
      </c>
      <c r="E28" s="393" t="str">
        <f>IF(Input!D193&gt;" ",IF(MID(Input!D193,4,8)="25-99-00"," ",IF(MID(Input!D193,4,8)="37-99-00"," ",IF(ROUND(VALUE(MID(Input!D193,67,14)),0)&gt;0,ROUND(VALUE(MID(Input!D193,67,14)),0),IF(ROUNDUP(VALUE(MID(Input!D193,67,14)),0)=1,1))))," ")</f>
        <v xml:space="preserve"> </v>
      </c>
      <c r="F28" s="394" t="str">
        <f>IF(Input!D193&gt;" ",IF(G28="**",E28,0),"")</f>
        <v/>
      </c>
      <c r="G28" s="396" t="str">
        <f>Input!E217</f>
        <v xml:space="preserve"> </v>
      </c>
      <c r="H28" s="1"/>
      <c r="I28" s="16"/>
      <c r="J28" s="22"/>
      <c r="K28" s="27" t="b">
        <f>IF(Input!D193&gt;" ",IF(MID(Input!$D193,5,4)="1-50",$F28," "))</f>
        <v>0</v>
      </c>
      <c r="L28" s="27" t="b">
        <f>IF(Input!$D193&gt;" ",IF(MID(Input!$D193,5,4)="1-90",$F28," "))</f>
        <v>0</v>
      </c>
      <c r="M28" s="27" t="b">
        <f>IF(Input!$D193&gt;" ",IF(MID(Input!$D193,5,1)="2",$F28," "))</f>
        <v>0</v>
      </c>
      <c r="N28" s="27" t="b">
        <f>IF(Input!$D193&gt;" ",IF(MID(Input!$D193,5,1)="3",$F28," "))</f>
        <v>0</v>
      </c>
      <c r="O28" s="27" t="b">
        <f>IF(Input!$D193&gt;" ",IF(MID(Input!$D193,5,4)="3-62",F28," "))</f>
        <v>0</v>
      </c>
      <c r="P28" s="27" t="b">
        <f>IF(Input!$D193&gt;" ",IF(MID(Input!$D193,5,1)="4",$F28," "))</f>
        <v>0</v>
      </c>
      <c r="Q28" s="27" t="b">
        <f>IF(Input!$D193&gt;" ",IF(MID(Input!$D193,5,1)="5",$F28," "))</f>
        <v>0</v>
      </c>
      <c r="R28" s="27" t="b">
        <f>IF(Input!$D193&gt;" ",IF(MID(Input!$D193,5,1)="6",$F28," "))</f>
        <v>0</v>
      </c>
      <c r="S28" s="27" t="b">
        <f>IF(Input!$D193&gt;" ",IF(MID(Input!$D193,5,1)="7",$F28," "))</f>
        <v>0</v>
      </c>
      <c r="T28" s="27" t="b">
        <f>IF(Input!$D193&gt;" ",IF(MID(Input!$D193,5,4)="8-02",$F28," "))</f>
        <v>0</v>
      </c>
      <c r="U28" s="27" t="b">
        <f>IF(Input!$D193&gt;" ",IF(MID(Input!$D193,5,4)="8-05",$F28," "))</f>
        <v>0</v>
      </c>
      <c r="V28" s="27">
        <f t="shared" si="0"/>
        <v>0</v>
      </c>
      <c r="W28" s="12"/>
      <c r="X28" s="12"/>
      <c r="Y28" s="12"/>
      <c r="Z28" s="12"/>
      <c r="AA28" s="12"/>
      <c r="AB28" s="12"/>
      <c r="AC28" s="12"/>
      <c r="AD28" s="12"/>
      <c r="AE28" s="12"/>
      <c r="AF28" s="12"/>
      <c r="AG28" s="12"/>
      <c r="AH28" s="12"/>
      <c r="AI28" s="12"/>
      <c r="AJ28" s="12"/>
      <c r="AK28" s="12"/>
      <c r="AL28" s="12"/>
      <c r="AM28" s="12"/>
      <c r="AN28" s="12"/>
      <c r="AO28" s="12"/>
      <c r="AP28" s="12"/>
      <c r="AQ28" s="12"/>
      <c r="AR28" s="12"/>
      <c r="AS28" s="11"/>
      <c r="AT28" s="11"/>
      <c r="AU28" s="11"/>
      <c r="AV28" s="11"/>
      <c r="AW28" s="11"/>
      <c r="AX28" s="11"/>
      <c r="AY28" s="11"/>
      <c r="AZ28" s="11"/>
      <c r="BA28" s="11"/>
      <c r="BB28" s="11"/>
      <c r="BC28" s="11"/>
      <c r="BD28" s="11"/>
      <c r="BE28" s="11"/>
    </row>
    <row r="29" spans="1:57">
      <c r="A29" s="18" t="str">
        <f>IF(Input!D194&gt;" ",IF(MID(Input!D194,4,8)="25-99-00"," ",IF(MID(Input!D194,4,8)="37-99-00"," ",MID(Input!D194,4,8)))," ")</f>
        <v xml:space="preserve"> </v>
      </c>
      <c r="B29" s="392" t="str">
        <f>IF(Input!D194&gt;" ",IF(MID(Input!D194,4,8)="25-99-00"," ",IF(MID(Input!D194,4,8)="37-99-00"," ",MID(Input!D194,17,9)))," ")</f>
        <v xml:space="preserve"> </v>
      </c>
      <c r="C29" s="170" t="str">
        <f>IF(Input!D194&gt;" ",IF(MID(Input!D194,4,8)="25-99-00"," ",IF(MID(Input!D194,4,8)="37-99-00"," ",MID(Input!D194,29,24)))," ")</f>
        <v xml:space="preserve"> </v>
      </c>
      <c r="D29" s="392" t="str">
        <f>IF(Input!D194&gt;" ",IF(MID(Input!D194,4,8)="25-99-00"," ",IF(MID(Input!D194,4,8)="37-99-00"," ",MID(Input!D194,56,10)))," ")</f>
        <v xml:space="preserve"> </v>
      </c>
      <c r="E29" s="393" t="str">
        <f>IF(Input!D194&gt;" ",IF(MID(Input!D194,4,8)="25-99-00"," ",IF(MID(Input!D194,4,8)="37-99-00"," ",IF(ROUND(VALUE(MID(Input!D194,67,14)),0)&gt;0,ROUND(VALUE(MID(Input!D194,67,14)),0),IF(ROUNDUP(VALUE(MID(Input!D194,67,14)),0)=1,1))))," ")</f>
        <v xml:space="preserve"> </v>
      </c>
      <c r="F29" s="394" t="str">
        <f>IF(Input!D194&gt;" ",IF(G29="**",E29,0),"")</f>
        <v/>
      </c>
      <c r="G29" s="396" t="str">
        <f>Input!E218</f>
        <v xml:space="preserve"> </v>
      </c>
      <c r="H29" s="1"/>
      <c r="I29" s="16"/>
      <c r="J29" s="22"/>
      <c r="K29" s="27" t="b">
        <f>IF(Input!D194&gt;" ",IF(MID(Input!$D194,5,4)="1-50",$F29," "))</f>
        <v>0</v>
      </c>
      <c r="L29" s="27" t="b">
        <f>IF(Input!$D194&gt;" ",IF(MID(Input!$D194,5,4)="1-90",$F29," "))</f>
        <v>0</v>
      </c>
      <c r="M29" s="27" t="b">
        <f>IF(Input!$D194&gt;" ",IF(MID(Input!$D194,5,1)="2",$F29," "))</f>
        <v>0</v>
      </c>
      <c r="N29" s="27" t="b">
        <f>IF(Input!$D194&gt;" ",IF(MID(Input!$D194,5,1)="3",$F29," "))</f>
        <v>0</v>
      </c>
      <c r="O29" s="27" t="b">
        <f>IF(Input!$D194&gt;" ",IF(MID(Input!$D194,5,4)="3-62",F29," "))</f>
        <v>0</v>
      </c>
      <c r="P29" s="27" t="b">
        <f>IF(Input!$D194&gt;" ",IF(MID(Input!$D194,5,1)="4",$F29," "))</f>
        <v>0</v>
      </c>
      <c r="Q29" s="27" t="b">
        <f>IF(Input!$D194&gt;" ",IF(MID(Input!$D194,5,1)="5",$F29," "))</f>
        <v>0</v>
      </c>
      <c r="R29" s="27" t="b">
        <f>IF(Input!$D194&gt;" ",IF(MID(Input!$D194,5,1)="6",$F29," "))</f>
        <v>0</v>
      </c>
      <c r="S29" s="27" t="b">
        <f>IF(Input!$D194&gt;" ",IF(MID(Input!$D194,5,1)="7",$F29," "))</f>
        <v>0</v>
      </c>
      <c r="T29" s="27" t="b">
        <f>IF(Input!$D194&gt;" ",IF(MID(Input!$D194,5,4)="8-02",$F29," "))</f>
        <v>0</v>
      </c>
      <c r="U29" s="27" t="b">
        <f>IF(Input!$D194&gt;" ",IF(MID(Input!$D194,5,4)="8-05",$F29," "))</f>
        <v>0</v>
      </c>
      <c r="V29" s="27">
        <f t="shared" si="0"/>
        <v>0</v>
      </c>
      <c r="W29" s="12"/>
      <c r="X29" s="12"/>
      <c r="Y29" s="12"/>
      <c r="Z29" s="12"/>
      <c r="AA29" s="12"/>
      <c r="AB29" s="12"/>
      <c r="AC29" s="12"/>
      <c r="AD29" s="12"/>
      <c r="AE29" s="12"/>
      <c r="AF29" s="12"/>
      <c r="AG29" s="12"/>
      <c r="AH29" s="12"/>
      <c r="AI29" s="12"/>
      <c r="AJ29" s="12"/>
      <c r="AK29" s="12"/>
      <c r="AL29" s="12"/>
      <c r="AM29" s="12"/>
      <c r="AN29" s="12"/>
      <c r="AO29" s="12"/>
      <c r="AP29" s="12"/>
      <c r="AQ29" s="12"/>
      <c r="AR29" s="12"/>
      <c r="AS29" s="11"/>
      <c r="AT29" s="11"/>
      <c r="AU29" s="11"/>
      <c r="AV29" s="11"/>
      <c r="AW29" s="11"/>
      <c r="AX29" s="11"/>
      <c r="AY29" s="11"/>
      <c r="AZ29" s="11"/>
      <c r="BA29" s="11"/>
      <c r="BB29" s="11"/>
      <c r="BC29" s="11"/>
      <c r="BD29" s="11"/>
      <c r="BE29" s="11"/>
    </row>
    <row r="30" spans="1:57">
      <c r="A30" s="18" t="str">
        <f>IF(Input!D195&gt;" ",IF(MID(Input!D195,4,8)="25-99-00"," ",IF(MID(Input!D195,4,8)="37-99-00"," ",MID(Input!D195,4,8)))," ")</f>
        <v xml:space="preserve"> </v>
      </c>
      <c r="B30" s="392" t="str">
        <f>IF(Input!D195&gt;" ",IF(MID(Input!D195,4,8)="25-99-00"," ",IF(MID(Input!D195,4,8)="37-99-00"," ",MID(Input!D195,17,9)))," ")</f>
        <v xml:space="preserve"> </v>
      </c>
      <c r="C30" s="170" t="str">
        <f>IF(Input!D195&gt;" ",IF(MID(Input!D195,4,8)="25-99-00"," ",IF(MID(Input!D195,4,8)="37-99-00"," ",MID(Input!D195,29,24)))," ")</f>
        <v xml:space="preserve"> </v>
      </c>
      <c r="D30" s="392" t="str">
        <f>IF(Input!D195&gt;" ",IF(MID(Input!D195,4,8)="25-99-00"," ",IF(MID(Input!D195,4,8)="37-99-00"," ",MID(Input!D195,56,10)))," ")</f>
        <v xml:space="preserve"> </v>
      </c>
      <c r="E30" s="393" t="str">
        <f>IF(Input!D195&gt;" ",IF(MID(Input!D195,4,8)="25-99-00"," ",IF(MID(Input!D195,4,8)="37-99-00"," ",IF(ROUND(VALUE(MID(Input!D195,67,14)),0)&gt;0,ROUND(VALUE(MID(Input!D195,67,14)),0),IF(ROUNDUP(VALUE(MID(Input!D195,67,14)),0)=1,1))))," ")</f>
        <v xml:space="preserve"> </v>
      </c>
      <c r="F30" s="394" t="str">
        <f>IF(Input!D195&gt;" ",IF(G30="**",E30,0),"")</f>
        <v/>
      </c>
      <c r="G30" s="396" t="str">
        <f>Input!E219</f>
        <v xml:space="preserve"> </v>
      </c>
      <c r="H30" s="1"/>
      <c r="I30" s="16"/>
      <c r="J30" s="22"/>
      <c r="K30" s="27" t="b">
        <f>IF(Input!D195&gt;" ",IF(MID(Input!$D195,5,4)="1-50",$F30," "))</f>
        <v>0</v>
      </c>
      <c r="L30" s="27" t="b">
        <f>IF(Input!$D195&gt;" ",IF(MID(Input!$D195,5,4)="1-90",$F30," "))</f>
        <v>0</v>
      </c>
      <c r="M30" s="27" t="b">
        <f>IF(Input!$D195&gt;" ",IF(MID(Input!$D195,5,1)="2",$F30," "))</f>
        <v>0</v>
      </c>
      <c r="N30" s="27" t="b">
        <f>IF(Input!$D195&gt;" ",IF(MID(Input!$D195,5,1)="3",$F30," "))</f>
        <v>0</v>
      </c>
      <c r="O30" s="27" t="b">
        <f>IF(Input!$D195&gt;" ",IF(MID(Input!$D195,5,4)="3-62",F30," "))</f>
        <v>0</v>
      </c>
      <c r="P30" s="27" t="b">
        <f>IF(Input!$D195&gt;" ",IF(MID(Input!$D195,5,1)="4",$F30," "))</f>
        <v>0</v>
      </c>
      <c r="Q30" s="27" t="b">
        <f>IF(Input!$D195&gt;" ",IF(MID(Input!$D195,5,1)="5",$F30," "))</f>
        <v>0</v>
      </c>
      <c r="R30" s="27" t="b">
        <f>IF(Input!$D195&gt;" ",IF(MID(Input!$D195,5,1)="6",$F30," "))</f>
        <v>0</v>
      </c>
      <c r="S30" s="27" t="b">
        <f>IF(Input!$D195&gt;" ",IF(MID(Input!$D195,5,1)="7",$F30," "))</f>
        <v>0</v>
      </c>
      <c r="T30" s="27" t="b">
        <f>IF(Input!$D195&gt;" ",IF(MID(Input!$D195,5,4)="8-02",$F30," "))</f>
        <v>0</v>
      </c>
      <c r="U30" s="27" t="b">
        <f>IF(Input!$D195&gt;" ",IF(MID(Input!$D195,5,4)="8-05",$F30," "))</f>
        <v>0</v>
      </c>
      <c r="V30" s="27">
        <f t="shared" si="0"/>
        <v>0</v>
      </c>
      <c r="W30" s="12"/>
      <c r="X30" s="12"/>
      <c r="Y30" s="12"/>
      <c r="Z30" s="12"/>
      <c r="AA30" s="12"/>
      <c r="AB30" s="12"/>
      <c r="AC30" s="12"/>
      <c r="AD30" s="12"/>
      <c r="AE30" s="12"/>
      <c r="AF30" s="12"/>
      <c r="AG30" s="12"/>
      <c r="AH30" s="12"/>
      <c r="AI30" s="12"/>
      <c r="AJ30" s="12"/>
      <c r="AK30" s="12"/>
      <c r="AL30" s="12"/>
      <c r="AM30" s="12"/>
      <c r="AN30" s="12"/>
      <c r="AO30" s="12"/>
      <c r="AP30" s="12"/>
      <c r="AQ30" s="12"/>
      <c r="AR30" s="12"/>
      <c r="AS30" s="11"/>
      <c r="AT30" s="11"/>
      <c r="AU30" s="11"/>
      <c r="AV30" s="11"/>
      <c r="AW30" s="11"/>
      <c r="AX30" s="11"/>
      <c r="AY30" s="11"/>
      <c r="AZ30" s="11"/>
      <c r="BA30" s="11"/>
      <c r="BB30" s="11"/>
      <c r="BC30" s="11"/>
      <c r="BD30" s="11"/>
      <c r="BE30" s="11"/>
    </row>
    <row r="31" spans="1:57">
      <c r="A31" s="18" t="str">
        <f>IF(Input!D196&gt;" ",IF(MID(Input!D196,4,8)="25-99-00"," ",IF(MID(Input!D196,4,8)="37-99-00"," ",MID(Input!D196,4,8)))," ")</f>
        <v xml:space="preserve"> </v>
      </c>
      <c r="B31" s="392" t="str">
        <f>IF(Input!D196&gt;" ",IF(MID(Input!D196,4,8)="25-99-00"," ",IF(MID(Input!D196,4,8)="37-99-00"," ",MID(Input!D196,17,9)))," ")</f>
        <v xml:space="preserve"> </v>
      </c>
      <c r="C31" s="170" t="str">
        <f>IF(Input!D196&gt;" ",IF(MID(Input!D196,4,8)="25-99-00"," ",IF(MID(Input!D196,4,8)="37-99-00"," ",MID(Input!D196,29,24)))," ")</f>
        <v xml:space="preserve"> </v>
      </c>
      <c r="D31" s="392" t="str">
        <f>IF(Input!D196&gt;" ",IF(MID(Input!D196,4,8)="25-99-00"," ",IF(MID(Input!D196,4,8)="37-99-00"," ",MID(Input!D196,56,10)))," ")</f>
        <v xml:space="preserve"> </v>
      </c>
      <c r="E31" s="393" t="str">
        <f>IF(Input!D196&gt;" ",IF(MID(Input!D196,4,8)="25-99-00"," ",IF(MID(Input!D196,4,8)="37-99-00"," ",IF(ROUND(VALUE(MID(Input!D196,67,14)),0)&gt;0,ROUND(VALUE(MID(Input!D196,67,14)),0),IF(ROUNDUP(VALUE(MID(Input!D196,67,14)),0)=1,1))))," ")</f>
        <v xml:space="preserve"> </v>
      </c>
      <c r="F31" s="394" t="str">
        <f>IF(Input!D196&gt;" ",IF(G31="**",E31,0),"")</f>
        <v/>
      </c>
      <c r="G31" s="396" t="str">
        <f>Input!E220</f>
        <v xml:space="preserve"> </v>
      </c>
      <c r="H31" s="1"/>
      <c r="I31" s="16"/>
      <c r="J31" s="22"/>
      <c r="K31" s="27" t="b">
        <f>IF(Input!D196&gt;" ",IF(MID(Input!$D196,5,4)="1-50",$F31," "))</f>
        <v>0</v>
      </c>
      <c r="L31" s="27" t="b">
        <f>IF(Input!$D196&gt;" ",IF(MID(Input!$D196,5,4)="1-90",$F31," "))</f>
        <v>0</v>
      </c>
      <c r="M31" s="27" t="b">
        <f>IF(Input!$D196&gt;" ",IF(MID(Input!$D196,5,1)="2",$F31," "))</f>
        <v>0</v>
      </c>
      <c r="N31" s="27" t="b">
        <f>IF(Input!$D196&gt;" ",IF(MID(Input!$D196,5,1)="3",$F31," "))</f>
        <v>0</v>
      </c>
      <c r="O31" s="27" t="b">
        <f>IF(Input!$D196&gt;" ",IF(MID(Input!$D196,5,4)="3-62",F31," "))</f>
        <v>0</v>
      </c>
      <c r="P31" s="27" t="b">
        <f>IF(Input!$D196&gt;" ",IF(MID(Input!$D196,5,1)="4",$F31," "))</f>
        <v>0</v>
      </c>
      <c r="Q31" s="27" t="b">
        <f>IF(Input!$D196&gt;" ",IF(MID(Input!$D196,5,1)="5",$F31," "))</f>
        <v>0</v>
      </c>
      <c r="R31" s="27" t="b">
        <f>IF(Input!$D196&gt;" ",IF(MID(Input!$D196,5,1)="6",$F31," "))</f>
        <v>0</v>
      </c>
      <c r="S31" s="27" t="b">
        <f>IF(Input!$D196&gt;" ",IF(MID(Input!$D196,5,1)="7",$F31," "))</f>
        <v>0</v>
      </c>
      <c r="T31" s="27" t="b">
        <f>IF(Input!$D196&gt;" ",IF(MID(Input!$D196,5,4)="8-02",$F31," "))</f>
        <v>0</v>
      </c>
      <c r="U31" s="27" t="b">
        <f>IF(Input!$D196&gt;" ",IF(MID(Input!$D196,5,4)="8-05",$F31," "))</f>
        <v>0</v>
      </c>
      <c r="V31" s="27">
        <f t="shared" si="0"/>
        <v>0</v>
      </c>
      <c r="W31" s="12"/>
      <c r="X31" s="12"/>
      <c r="Y31" s="12"/>
      <c r="Z31" s="12"/>
      <c r="AA31" s="12"/>
      <c r="AB31" s="12"/>
      <c r="AC31" s="12"/>
      <c r="AD31" s="12"/>
      <c r="AE31" s="12"/>
      <c r="AF31" s="12"/>
      <c r="AG31" s="12"/>
      <c r="AH31" s="12"/>
      <c r="AI31" s="12"/>
      <c r="AJ31" s="12"/>
      <c r="AK31" s="12"/>
      <c r="AL31" s="12"/>
      <c r="AM31" s="12"/>
      <c r="AN31" s="12"/>
      <c r="AO31" s="12"/>
      <c r="AP31" s="12"/>
      <c r="AQ31" s="12"/>
      <c r="AR31" s="12"/>
      <c r="AS31" s="11"/>
      <c r="AT31" s="11"/>
      <c r="AU31" s="11"/>
      <c r="AV31" s="11"/>
      <c r="AW31" s="11"/>
      <c r="AX31" s="11"/>
      <c r="AY31" s="11"/>
      <c r="AZ31" s="11"/>
      <c r="BA31" s="11"/>
      <c r="BB31" s="11"/>
      <c r="BC31" s="11"/>
      <c r="BD31" s="11"/>
      <c r="BE31" s="11"/>
    </row>
    <row r="32" spans="1:57">
      <c r="A32" s="18" t="str">
        <f>IF(Input!D197&gt;" ",IF(MID(Input!D197,4,8)="25-99-00"," ",IF(MID(Input!D197,4,8)="37-99-00"," ",MID(Input!D197,4,8)))," ")</f>
        <v xml:space="preserve"> </v>
      </c>
      <c r="B32" s="392" t="str">
        <f>IF(Input!D197&gt;" ",IF(MID(Input!D197,4,8)="25-99-00"," ",IF(MID(Input!D197,4,8)="37-99-00"," ",MID(Input!D197,17,9)))," ")</f>
        <v xml:space="preserve"> </v>
      </c>
      <c r="C32" s="170" t="str">
        <f>IF(Input!D197&gt;" ",IF(MID(Input!D197,4,8)="25-99-00"," ",IF(MID(Input!D197,4,8)="37-99-00"," ",MID(Input!D197,29,24)))," ")</f>
        <v xml:space="preserve"> </v>
      </c>
      <c r="D32" s="392" t="str">
        <f>IF(Input!D197&gt;" ",IF(MID(Input!D197,4,8)="25-99-00"," ",IF(MID(Input!D197,4,8)="37-99-00"," ",MID(Input!D197,56,10)))," ")</f>
        <v xml:space="preserve"> </v>
      </c>
      <c r="E32" s="393" t="str">
        <f>IF(Input!D197&gt;" ",IF(MID(Input!D197,4,8)="25-99-00"," ",IF(MID(Input!D197,4,8)="37-99-00"," ",IF(ROUND(VALUE(MID(Input!D197,67,14)),0)&gt;0,ROUND(VALUE(MID(Input!D197,67,14)),0),IF(ROUNDUP(VALUE(MID(Input!D197,67,14)),0)=1,1))))," ")</f>
        <v xml:space="preserve"> </v>
      </c>
      <c r="F32" s="394" t="str">
        <f>IF(Input!D197&gt;" ",IF(G32="**",E32,0),"")</f>
        <v/>
      </c>
      <c r="G32" s="396" t="str">
        <f>Input!E221</f>
        <v xml:space="preserve"> </v>
      </c>
      <c r="H32" s="1"/>
      <c r="I32" s="16"/>
      <c r="J32" s="22"/>
      <c r="K32" s="27" t="b">
        <f>IF(Input!D197&gt;" ",IF(MID(Input!$D197,5,4)="1-50",$F32," "))</f>
        <v>0</v>
      </c>
      <c r="L32" s="27" t="b">
        <f>IF(Input!$D197&gt;" ",IF(MID(Input!$D197,5,4)="1-90",$F32," "))</f>
        <v>0</v>
      </c>
      <c r="M32" s="27" t="b">
        <f>IF(Input!$D197&gt;" ",IF(MID(Input!$D197,5,1)="2",$F32," "))</f>
        <v>0</v>
      </c>
      <c r="N32" s="27" t="b">
        <f>IF(Input!$D197&gt;" ",IF(MID(Input!$D197,5,1)="3",$F32," "))</f>
        <v>0</v>
      </c>
      <c r="O32" s="27" t="b">
        <f>IF(Input!$D197&gt;" ",IF(MID(Input!$D197,5,4)="3-62",F32," "))</f>
        <v>0</v>
      </c>
      <c r="P32" s="27" t="b">
        <f>IF(Input!$D197&gt;" ",IF(MID(Input!$D197,5,1)="4",$F32," "))</f>
        <v>0</v>
      </c>
      <c r="Q32" s="27" t="b">
        <f>IF(Input!$D197&gt;" ",IF(MID(Input!$D197,5,1)="5",$F32," "))</f>
        <v>0</v>
      </c>
      <c r="R32" s="27" t="b">
        <f>IF(Input!$D197&gt;" ",IF(MID(Input!$D197,5,1)="6",$F32," "))</f>
        <v>0</v>
      </c>
      <c r="S32" s="27" t="b">
        <f>IF(Input!$D197&gt;" ",IF(MID(Input!$D197,5,1)="7",$F32," "))</f>
        <v>0</v>
      </c>
      <c r="T32" s="27" t="b">
        <f>IF(Input!$D197&gt;" ",IF(MID(Input!$D197,5,4)="8-02",$F32," "))</f>
        <v>0</v>
      </c>
      <c r="U32" s="27" t="b">
        <f>IF(Input!$D197&gt;" ",IF(MID(Input!$D197,5,4)="8-05",$F32," "))</f>
        <v>0</v>
      </c>
      <c r="V32" s="27">
        <f t="shared" si="0"/>
        <v>0</v>
      </c>
      <c r="W32" s="12"/>
      <c r="X32" s="12"/>
      <c r="Y32" s="12"/>
      <c r="Z32" s="12"/>
      <c r="AA32" s="12"/>
      <c r="AB32" s="12"/>
      <c r="AC32" s="12"/>
      <c r="AD32" s="12"/>
      <c r="AE32" s="12"/>
      <c r="AF32" s="12"/>
      <c r="AG32" s="12"/>
      <c r="AH32" s="12"/>
      <c r="AI32" s="12"/>
      <c r="AJ32" s="12"/>
      <c r="AK32" s="12"/>
      <c r="AL32" s="12"/>
      <c r="AM32" s="12"/>
      <c r="AN32" s="12"/>
      <c r="AO32" s="12"/>
      <c r="AP32" s="12"/>
      <c r="AQ32" s="12"/>
      <c r="AR32" s="12"/>
      <c r="AS32" s="11"/>
      <c r="AT32" s="11"/>
      <c r="AU32" s="11"/>
      <c r="AV32" s="11"/>
      <c r="AW32" s="11"/>
      <c r="AX32" s="11"/>
      <c r="AY32" s="11"/>
      <c r="AZ32" s="11"/>
      <c r="BA32" s="11"/>
      <c r="BB32" s="11"/>
      <c r="BC32" s="11"/>
      <c r="BD32" s="11"/>
      <c r="BE32" s="11"/>
    </row>
    <row r="33" spans="1:57">
      <c r="A33" s="18" t="str">
        <f>IF(Input!D198&gt;" ",IF(MID(Input!D198,4,8)="25-99-00"," ",IF(MID(Input!D198,4,8)="37-99-00"," ",MID(Input!D198,4,8)))," ")</f>
        <v xml:space="preserve"> </v>
      </c>
      <c r="B33" s="392" t="str">
        <f>IF(Input!D198&gt;" ",IF(MID(Input!D198,4,8)="25-99-00"," ",IF(MID(Input!D198,4,8)="37-99-00"," ",MID(Input!D198,17,9)))," ")</f>
        <v xml:space="preserve"> </v>
      </c>
      <c r="C33" s="170" t="str">
        <f>IF(Input!D198&gt;" ",IF(MID(Input!D198,4,8)="25-99-00"," ",IF(MID(Input!D198,4,8)="37-99-00"," ",MID(Input!D198,29,24)))," ")</f>
        <v xml:space="preserve"> </v>
      </c>
      <c r="D33" s="392" t="str">
        <f>IF(Input!D198&gt;" ",IF(MID(Input!D198,4,8)="25-99-00"," ",IF(MID(Input!D198,4,8)="37-99-00"," ",MID(Input!D198,56,10)))," ")</f>
        <v xml:space="preserve"> </v>
      </c>
      <c r="E33" s="393" t="str">
        <f>IF(Input!D198&gt;" ",IF(MID(Input!D198,4,8)="25-99-00"," ",IF(MID(Input!D198,4,8)="37-99-00"," ",IF(ROUND(VALUE(MID(Input!D198,67,14)),0)&gt;0,ROUND(VALUE(MID(Input!D198,67,14)),0),IF(ROUNDUP(VALUE(MID(Input!D198,67,14)),0)=1,1))))," ")</f>
        <v xml:space="preserve"> </v>
      </c>
      <c r="F33" s="394" t="str">
        <f>IF(Input!D198&gt;" ",IF(G33="**",E33,0),"")</f>
        <v/>
      </c>
      <c r="G33" s="396" t="str">
        <f>Input!E222</f>
        <v xml:space="preserve"> </v>
      </c>
      <c r="H33" s="1"/>
      <c r="I33" s="16"/>
      <c r="J33" s="22"/>
      <c r="K33" s="27" t="b">
        <f>IF(Input!D198&gt;" ",IF(MID(Input!$D198,5,4)="1-50",$F33," "))</f>
        <v>0</v>
      </c>
      <c r="L33" s="27" t="b">
        <f>IF(Input!$D198&gt;" ",IF(MID(Input!$D198,5,4)="1-90",$F33," "))</f>
        <v>0</v>
      </c>
      <c r="M33" s="27" t="b">
        <f>IF(Input!$D198&gt;" ",IF(MID(Input!$D198,5,1)="2",$F33," "))</f>
        <v>0</v>
      </c>
      <c r="N33" s="27" t="b">
        <f>IF(Input!$D198&gt;" ",IF(MID(Input!$D198,5,1)="3",$F33," "))</f>
        <v>0</v>
      </c>
      <c r="O33" s="27" t="b">
        <f>IF(Input!$D198&gt;" ",IF(MID(Input!$D198,5,4)="3-62",F33," "))</f>
        <v>0</v>
      </c>
      <c r="P33" s="27" t="b">
        <f>IF(Input!$D198&gt;" ",IF(MID(Input!$D198,5,1)="4",$F33," "))</f>
        <v>0</v>
      </c>
      <c r="Q33" s="27" t="b">
        <f>IF(Input!$D198&gt;" ",IF(MID(Input!$D198,5,1)="5",$F33," "))</f>
        <v>0</v>
      </c>
      <c r="R33" s="27" t="b">
        <f>IF(Input!$D198&gt;" ",IF(MID(Input!$D198,5,1)="6",$F33," "))</f>
        <v>0</v>
      </c>
      <c r="S33" s="27" t="b">
        <f>IF(Input!$D198&gt;" ",IF(MID(Input!$D198,5,1)="7",$F33," "))</f>
        <v>0</v>
      </c>
      <c r="T33" s="27" t="b">
        <f>IF(Input!$D198&gt;" ",IF(MID(Input!$D198,5,4)="8-02",$F33," "))</f>
        <v>0</v>
      </c>
      <c r="U33" s="27" t="b">
        <f>IF(Input!$D198&gt;" ",IF(MID(Input!$D198,5,4)="8-05",$F33," "))</f>
        <v>0</v>
      </c>
      <c r="V33" s="27">
        <f t="shared" si="0"/>
        <v>0</v>
      </c>
      <c r="W33" s="12"/>
      <c r="X33" s="12"/>
      <c r="Y33" s="12"/>
      <c r="Z33" s="12"/>
      <c r="AA33" s="12"/>
      <c r="AB33" s="12"/>
      <c r="AC33" s="12"/>
      <c r="AD33" s="12"/>
      <c r="AE33" s="12"/>
      <c r="AF33" s="12"/>
      <c r="AG33" s="12"/>
      <c r="AH33" s="12"/>
      <c r="AI33" s="12"/>
      <c r="AJ33" s="12"/>
      <c r="AK33" s="12"/>
      <c r="AL33" s="12"/>
      <c r="AM33" s="12"/>
      <c r="AN33" s="12"/>
      <c r="AO33" s="12"/>
      <c r="AP33" s="12"/>
      <c r="AQ33" s="12"/>
      <c r="AR33" s="12"/>
      <c r="AS33" s="11"/>
      <c r="AT33" s="11"/>
      <c r="AU33" s="11"/>
      <c r="AV33" s="11"/>
      <c r="AW33" s="11"/>
      <c r="AX33" s="11"/>
      <c r="AY33" s="11"/>
      <c r="AZ33" s="11"/>
      <c r="BA33" s="11"/>
      <c r="BB33" s="11"/>
      <c r="BC33" s="11"/>
      <c r="BD33" s="11"/>
      <c r="BE33" s="11"/>
    </row>
    <row r="34" spans="1:57">
      <c r="A34" s="18" t="str">
        <f>IF(Input!D199&gt;" ",IF(MID(Input!D199,4,8)="25-99-00"," ",IF(MID(Input!D199,4,8)="37-99-00"," ",MID(Input!D199,4,8)))," ")</f>
        <v xml:space="preserve"> </v>
      </c>
      <c r="B34" s="392" t="str">
        <f>IF(Input!D199&gt;" ",IF(MID(Input!D199,4,8)="25-99-00"," ",IF(MID(Input!D199,4,8)="37-99-00"," ",MID(Input!D199,17,9)))," ")</f>
        <v xml:space="preserve"> </v>
      </c>
      <c r="C34" s="170" t="str">
        <f>IF(Input!D199&gt;" ",IF(MID(Input!D199,4,8)="25-99-00"," ",IF(MID(Input!D199,4,8)="37-99-00"," ",MID(Input!D199,29,24)))," ")</f>
        <v xml:space="preserve"> </v>
      </c>
      <c r="D34" s="392" t="str">
        <f>IF(Input!D199&gt;" ",IF(MID(Input!D199,4,8)="25-99-00"," ",IF(MID(Input!D199,4,8)="37-99-00"," ",MID(Input!D199,56,10)))," ")</f>
        <v xml:space="preserve"> </v>
      </c>
      <c r="E34" s="393" t="str">
        <f>IF(Input!D199&gt;" ",IF(MID(Input!D199,4,8)="25-99-00"," ",IF(MID(Input!D199,4,8)="37-99-00"," ",IF(ROUND(VALUE(MID(Input!D199,67,14)),0)&gt;0,ROUND(VALUE(MID(Input!D199,67,14)),0),IF(ROUNDUP(VALUE(MID(Input!D199,67,14)),0)=1,1))))," ")</f>
        <v xml:space="preserve"> </v>
      </c>
      <c r="F34" s="394" t="str">
        <f>IF(Input!D199&gt;" ",IF(G34="**",E34,0),"")</f>
        <v/>
      </c>
      <c r="G34" s="396" t="str">
        <f>Input!E223</f>
        <v xml:space="preserve"> </v>
      </c>
      <c r="H34" s="1"/>
      <c r="I34" s="16"/>
      <c r="J34" s="22"/>
      <c r="K34" s="27" t="b">
        <f>IF(Input!D199&gt;" ",IF(MID(Input!$D199,5,4)="1-50",$F34," "))</f>
        <v>0</v>
      </c>
      <c r="L34" s="27" t="b">
        <f>IF(Input!$D199&gt;" ",IF(MID(Input!$D199,5,4)="1-90",$F34," "))</f>
        <v>0</v>
      </c>
      <c r="M34" s="27" t="b">
        <f>IF(Input!$D199&gt;" ",IF(MID(Input!$D199,5,1)="2",$F34," "))</f>
        <v>0</v>
      </c>
      <c r="N34" s="27" t="b">
        <f>IF(Input!$D199&gt;" ",IF(MID(Input!$D199,5,1)="3",$F34," "))</f>
        <v>0</v>
      </c>
      <c r="O34" s="27" t="b">
        <f>IF(Input!$D199&gt;" ",IF(MID(Input!$D199,5,4)="3-62",F34," "))</f>
        <v>0</v>
      </c>
      <c r="P34" s="27" t="b">
        <f>IF(Input!$D199&gt;" ",IF(MID(Input!$D199,5,1)="4",$F34," "))</f>
        <v>0</v>
      </c>
      <c r="Q34" s="27" t="b">
        <f>IF(Input!$D199&gt;" ",IF(MID(Input!$D199,5,1)="5",$F34," "))</f>
        <v>0</v>
      </c>
      <c r="R34" s="27" t="b">
        <f>IF(Input!$D199&gt;" ",IF(MID(Input!$D199,5,1)="6",$F34," "))</f>
        <v>0</v>
      </c>
      <c r="S34" s="27" t="b">
        <f>IF(Input!$D199&gt;" ",IF(MID(Input!$D199,5,1)="7",$F34," "))</f>
        <v>0</v>
      </c>
      <c r="T34" s="27" t="b">
        <f>IF(Input!$D199&gt;" ",IF(MID(Input!$D199,5,4)="8-02",$F34," "))</f>
        <v>0</v>
      </c>
      <c r="U34" s="27" t="b">
        <f>IF(Input!$D199&gt;" ",IF(MID(Input!$D199,5,4)="8-05",$F34," "))</f>
        <v>0</v>
      </c>
      <c r="V34" s="27">
        <f t="shared" si="0"/>
        <v>0</v>
      </c>
      <c r="W34" s="12"/>
      <c r="X34" s="12"/>
      <c r="Y34" s="12"/>
      <c r="Z34" s="12"/>
      <c r="AA34" s="12"/>
      <c r="AB34" s="12"/>
      <c r="AC34" s="12"/>
      <c r="AD34" s="12"/>
      <c r="AE34" s="12"/>
      <c r="AF34" s="12"/>
      <c r="AG34" s="12"/>
      <c r="AH34" s="12"/>
      <c r="AI34" s="12"/>
      <c r="AJ34" s="12"/>
      <c r="AK34" s="12"/>
      <c r="AL34" s="12"/>
      <c r="AM34" s="12"/>
      <c r="AN34" s="12"/>
      <c r="AO34" s="12"/>
      <c r="AP34" s="12"/>
      <c r="AQ34" s="12"/>
      <c r="AR34" s="12"/>
      <c r="AS34" s="11"/>
      <c r="AT34" s="11"/>
      <c r="AU34" s="11"/>
      <c r="AV34" s="11"/>
      <c r="AW34" s="11"/>
      <c r="AX34" s="11"/>
      <c r="AY34" s="11"/>
      <c r="AZ34" s="11"/>
      <c r="BA34" s="11"/>
      <c r="BB34" s="11"/>
      <c r="BC34" s="11"/>
      <c r="BD34" s="11"/>
      <c r="BE34" s="11"/>
    </row>
    <row r="35" spans="1:57">
      <c r="A35" s="18" t="str">
        <f>IF(Input!D200&gt;" ",IF(MID(Input!D200,4,8)="25-99-00"," ",IF(MID(Input!D200,4,8)="37-99-00"," ",MID(Input!D200,4,8)))," ")</f>
        <v xml:space="preserve"> </v>
      </c>
      <c r="B35" s="392" t="str">
        <f>IF(Input!D200&gt;" ",IF(MID(Input!D200,4,8)="25-99-00"," ",IF(MID(Input!D200,4,8)="37-99-00"," ",MID(Input!D200,17,9)))," ")</f>
        <v xml:space="preserve"> </v>
      </c>
      <c r="C35" s="170" t="str">
        <f>IF(Input!D200&gt;" ",IF(MID(Input!D200,4,8)="25-99-00"," ",IF(MID(Input!D200,4,8)="37-99-00"," ",MID(Input!D200,29,24)))," ")</f>
        <v xml:space="preserve"> </v>
      </c>
      <c r="D35" s="392" t="str">
        <f>IF(Input!D200&gt;" ",IF(MID(Input!D200,4,8)="25-99-00"," ",IF(MID(Input!D200,4,8)="37-99-00"," ",MID(Input!D200,56,10)))," ")</f>
        <v xml:space="preserve"> </v>
      </c>
      <c r="E35" s="393" t="str">
        <f>IF(Input!D200&gt;" ",IF(MID(Input!D200,4,8)="25-99-00"," ",IF(MID(Input!D200,4,8)="37-99-00"," ",IF(ROUND(VALUE(MID(Input!D200,67,14)),0)&gt;0,ROUND(VALUE(MID(Input!D200,67,14)),0),IF(ROUNDUP(VALUE(MID(Input!D200,67,14)),0)=1,1))))," ")</f>
        <v xml:space="preserve"> </v>
      </c>
      <c r="F35" s="394" t="str">
        <f>IF(Input!D200&gt;" ",IF(G35="**",E35,0),"")</f>
        <v/>
      </c>
      <c r="G35" s="396" t="str">
        <f>Input!E224</f>
        <v xml:space="preserve"> </v>
      </c>
      <c r="H35" s="1"/>
      <c r="I35" s="16"/>
      <c r="J35" s="22"/>
      <c r="K35" s="27" t="b">
        <f>IF(Input!D200&gt;" ",IF(MID(Input!$D200,5,4)="1-50",$F35," "))</f>
        <v>0</v>
      </c>
      <c r="L35" s="27" t="b">
        <f>IF(Input!$D200&gt;" ",IF(MID(Input!$D200,5,4)="1-90",$F35," "))</f>
        <v>0</v>
      </c>
      <c r="M35" s="27" t="b">
        <f>IF(Input!$D200&gt;" ",IF(MID(Input!$D200,5,1)="2",$F35," "))</f>
        <v>0</v>
      </c>
      <c r="N35" s="27" t="b">
        <f>IF(Input!$D200&gt;" ",IF(MID(Input!$D200,5,1)="3",$F35," "))</f>
        <v>0</v>
      </c>
      <c r="O35" s="27" t="b">
        <f>IF(Input!$D200&gt;" ",IF(MID(Input!$D200,5,4)="3-62",F35," "))</f>
        <v>0</v>
      </c>
      <c r="P35" s="27" t="b">
        <f>IF(Input!$D200&gt;" ",IF(MID(Input!$D200,5,1)="4",$F35," "))</f>
        <v>0</v>
      </c>
      <c r="Q35" s="27" t="b">
        <f>IF(Input!$D200&gt;" ",IF(MID(Input!$D200,5,1)="5",$F35," "))</f>
        <v>0</v>
      </c>
      <c r="R35" s="27" t="b">
        <f>IF(Input!$D200&gt;" ",IF(MID(Input!$D200,5,1)="6",$F35," "))</f>
        <v>0</v>
      </c>
      <c r="S35" s="27" t="b">
        <f>IF(Input!$D200&gt;" ",IF(MID(Input!$D200,5,1)="7",$F35," "))</f>
        <v>0</v>
      </c>
      <c r="T35" s="27" t="b">
        <f>IF(Input!$D200&gt;" ",IF(MID(Input!$D200,5,4)="8-02",$F35," "))</f>
        <v>0</v>
      </c>
      <c r="U35" s="27" t="b">
        <f>IF(Input!$D200&gt;" ",IF(MID(Input!$D200,5,4)="8-05",$F35," "))</f>
        <v>0</v>
      </c>
      <c r="V35" s="27">
        <f t="shared" si="0"/>
        <v>0</v>
      </c>
      <c r="W35" s="12"/>
      <c r="X35" s="12"/>
      <c r="Y35" s="12"/>
      <c r="Z35" s="12"/>
      <c r="AA35" s="12"/>
      <c r="AB35" s="12"/>
      <c r="AC35" s="12"/>
      <c r="AD35" s="12"/>
      <c r="AE35" s="12"/>
      <c r="AF35" s="12"/>
      <c r="AG35" s="12"/>
      <c r="AH35" s="12"/>
      <c r="AI35" s="12"/>
      <c r="AJ35" s="12"/>
      <c r="AK35" s="12"/>
      <c r="AL35" s="12"/>
      <c r="AM35" s="12"/>
      <c r="AN35" s="12"/>
      <c r="AO35" s="12"/>
      <c r="AP35" s="12"/>
      <c r="AQ35" s="12"/>
      <c r="AR35" s="12"/>
      <c r="AS35" s="11"/>
      <c r="AT35" s="11"/>
      <c r="AU35" s="11"/>
      <c r="AV35" s="11"/>
      <c r="AW35" s="11"/>
      <c r="AX35" s="11"/>
      <c r="AY35" s="11"/>
      <c r="AZ35" s="11"/>
      <c r="BA35" s="11"/>
      <c r="BB35" s="11"/>
      <c r="BC35" s="11"/>
      <c r="BD35" s="11"/>
      <c r="BE35" s="11"/>
    </row>
    <row r="36" spans="1:57" ht="16.5" customHeight="1" thickBot="1">
      <c r="A36" s="18" t="str">
        <f>IF(Input!D201&gt;" ",IF(MID(Input!D201,4,8)="25-99-00"," ",IF(MID(Input!D201,4,8)="37-99-00"," ",MID(Input!D201,4,8)))," ")</f>
        <v xml:space="preserve"> </v>
      </c>
      <c r="B36" s="392" t="str">
        <f>IF(Input!D201&gt;" ",IF(MID(Input!D201,4,8)="25-99-00"," ",IF(MID(Input!D201,4,8)="37-99-00"," ",MID(Input!D201,17,9)))," ")</f>
        <v xml:space="preserve"> </v>
      </c>
      <c r="C36" s="170" t="str">
        <f>IF(Input!D201&gt;" ",IF(MID(Input!D201,4,8)="25-99-00"," ",IF(MID(Input!D201,4,8)="37-99-00"," ",MID(Input!D201,29,24)))," ")</f>
        <v xml:space="preserve"> </v>
      </c>
      <c r="D36" s="392" t="str">
        <f>IF(Input!D201&gt;" ",IF(MID(Input!D201,4,8)="25-99-00"," ",IF(MID(Input!D201,4,8)="37-99-00"," ",MID(Input!D201,56,10)))," ")</f>
        <v xml:space="preserve"> </v>
      </c>
      <c r="E36" s="393" t="str">
        <f>IF(Input!D201&gt;" ",IF(MID(Input!D201,4,8)="25-99-00"," ",IF(MID(Input!D201,4,8)="37-99-00"," ",IF(ROUND(VALUE(MID(Input!D201,67,14)),0)&gt;0,ROUND(VALUE(MID(Input!D201,67,14)),0),IF(ROUNDUP(VALUE(MID(Input!D201,67,14)),0)=1,1))))," ")</f>
        <v xml:space="preserve"> </v>
      </c>
      <c r="F36" s="394" t="str">
        <f>IF(Input!D201&gt;" ",IF(G36="**",E36,0),"")</f>
        <v/>
      </c>
      <c r="G36" s="396" t="str">
        <f>Input!E225</f>
        <v xml:space="preserve"> </v>
      </c>
      <c r="H36" s="1"/>
      <c r="I36" s="16"/>
      <c r="J36" s="22"/>
      <c r="K36" s="28" t="b">
        <f>IF(Input!D201&gt;" ",IF(MID(Input!$D201,5,4)="1-50",$F36," "))</f>
        <v>0</v>
      </c>
      <c r="L36" s="28" t="b">
        <f>IF(Input!$D201&gt;" ",IF(MID(Input!$D201,5,4)="1-90",$F36," "))</f>
        <v>0</v>
      </c>
      <c r="M36" s="28" t="b">
        <f>IF(Input!$D201&gt;" ",IF(MID(Input!$D201,5,1)="2",$F36," "))</f>
        <v>0</v>
      </c>
      <c r="N36" s="28" t="b">
        <f>IF(Input!$D201&gt;" ",IF(MID(Input!$D201,5,1)="3",$F36," "))</f>
        <v>0</v>
      </c>
      <c r="O36" s="28" t="b">
        <f>IF(Input!$D201&gt;" ",IF(MID(Input!$D201,5,4)="3-62",F36," "))</f>
        <v>0</v>
      </c>
      <c r="P36" s="28" t="b">
        <f>IF(Input!$D201&gt;" ",IF(MID(Input!$D201,5,1)="4",$F36," "))</f>
        <v>0</v>
      </c>
      <c r="Q36" s="28" t="b">
        <f>IF(Input!$D201&gt;" ",IF(MID(Input!$D201,5,1)="5",$F36," "))</f>
        <v>0</v>
      </c>
      <c r="R36" s="28" t="b">
        <f>IF(Input!$D201&gt;" ",IF(MID(Input!$D201,5,1)="6",$F36," "))</f>
        <v>0</v>
      </c>
      <c r="S36" s="28" t="b">
        <f>IF(Input!$D201&gt;" ",IF(MID(Input!$D201,5,1)="7",$F36," "))</f>
        <v>0</v>
      </c>
      <c r="T36" s="28" t="b">
        <f>IF(Input!$D201&gt;" ",IF(MID(Input!$D201,5,4)="8-02",$F36," "))</f>
        <v>0</v>
      </c>
      <c r="U36" s="28" t="b">
        <f>IF(Input!$D201&gt;" ",IF(MID(Input!$D201,5,4)="8-05",$F36," "))</f>
        <v>0</v>
      </c>
      <c r="V36" s="28">
        <f t="shared" si="0"/>
        <v>0</v>
      </c>
      <c r="W36" s="12"/>
      <c r="X36" s="12"/>
      <c r="Y36" s="12"/>
      <c r="Z36" s="12"/>
      <c r="AA36" s="12"/>
      <c r="AB36" s="12"/>
      <c r="AC36" s="12"/>
      <c r="AD36" s="12"/>
      <c r="AE36" s="12"/>
      <c r="AF36" s="12"/>
      <c r="AG36" s="12"/>
      <c r="AH36" s="12"/>
      <c r="AI36" s="12"/>
      <c r="AJ36" s="12"/>
      <c r="AK36" s="12"/>
      <c r="AL36" s="12"/>
      <c r="AM36" s="12"/>
      <c r="AN36" s="12"/>
      <c r="AO36" s="12"/>
      <c r="AP36" s="12"/>
      <c r="AQ36" s="12"/>
      <c r="AR36" s="12"/>
      <c r="AS36" s="11"/>
      <c r="AT36" s="11"/>
      <c r="AU36" s="11"/>
      <c r="AV36" s="11"/>
      <c r="AW36" s="11"/>
      <c r="AX36" s="11"/>
      <c r="AY36" s="11"/>
      <c r="AZ36" s="11"/>
      <c r="BA36" s="11"/>
      <c r="BB36" s="11"/>
      <c r="BC36" s="11"/>
      <c r="BD36" s="11"/>
      <c r="BE36" s="11"/>
    </row>
    <row r="37" spans="1:57" ht="16.5" customHeight="1" thickTop="1">
      <c r="A37" s="18" t="str">
        <f>IF(Input!E188&gt;" ",IF(MID(Input!E188,4,8)="25-99-00"," ",IF(MID(Input!E188,4,8)="37-99-00"," ",MID(Input!E188,4,8)))," ")</f>
        <v xml:space="preserve"> </v>
      </c>
      <c r="B37" s="392" t="str">
        <f>IF(Input!E188&gt;" ",IF(MID(Input!E188,4,8)="25-99-00"," ",IF(MID(Input!E188,4,8)="37-99-00"," ",MID(Input!E188,17,9)))," ")</f>
        <v xml:space="preserve"> </v>
      </c>
      <c r="C37" s="170" t="str">
        <f>IF(Input!E188&gt;" ",IF(MID(Input!E188,4,8)="25-99-00"," ",IF(MID(Input!E188,4,8)="37-99-00"," ",MID(Input!E188,29,24)))," ")</f>
        <v xml:space="preserve"> </v>
      </c>
      <c r="D37" s="392" t="str">
        <f>IF(Input!E188&gt;" ",IF(MID(Input!E188,4,8)="25-99-00"," ",IF(MID(Input!E188,4,8)="37-99-00"," ",MID(Input!E188,56,10)))," ")</f>
        <v xml:space="preserve"> </v>
      </c>
      <c r="E37" s="393" t="str">
        <f>IF(Input!E188&gt;" ",IF(MID(Input!E188,4,8)="25-99-00"," ",IF(MID(Input!E188,4,8)="37-99-00"," ",IF(ROUND(VALUE(MID(Input!E188,67,14)),0)&gt;0,ROUND(VALUE(MID(Input!E188,67,14)),0),IF(ROUNDUP(VALUE(MID(Input!E188,67,14)),0)=1,1))))," ")</f>
        <v xml:space="preserve"> </v>
      </c>
      <c r="F37" s="394" t="str">
        <f>IF(Input!E188&gt;" ",IF(G37="**",E37,0),"")</f>
        <v/>
      </c>
      <c r="G37" s="396" t="str">
        <f>Input!E226</f>
        <v xml:space="preserve"> </v>
      </c>
      <c r="H37" s="1"/>
      <c r="I37" s="16"/>
      <c r="J37" s="16"/>
      <c r="K37" s="27" t="b">
        <f>IF(Input!E188&gt;" ",IF(MID(Input!$E188,5,4)="1-50",$F37," "))</f>
        <v>0</v>
      </c>
      <c r="L37" s="27" t="b">
        <f>IF(Input!E188&gt;" ",IF(MID(Input!$E188,5,4)="1-90",$F37," "))</f>
        <v>0</v>
      </c>
      <c r="M37" s="27" t="b">
        <f>IF(Input!E188&gt;" ",IF(MID(Input!$E188,5,1)="2",$F37," "))</f>
        <v>0</v>
      </c>
      <c r="N37" s="27" t="b">
        <f>IF(Input!E188&gt;" ",IF(MID(Input!E188,5,1)="3",F37," "))</f>
        <v>0</v>
      </c>
      <c r="O37" s="27" t="b">
        <f>IF(Input!E188&gt;" ",IF(MID(Input!E188,5,4)="3-62",F37," "))</f>
        <v>0</v>
      </c>
      <c r="P37" s="27" t="b">
        <f>IF(Input!E188&gt;" ",IF(MID(Input!E188,5,1)="4",F37," "))</f>
        <v>0</v>
      </c>
      <c r="Q37" s="27" t="b">
        <f>IF(Input!E188&gt;" ",IF(MID(Input!$E188,5,1)="5",$F37," "))</f>
        <v>0</v>
      </c>
      <c r="R37" s="27" t="b">
        <f>IF(Input!E188&gt;" ",IF(MID(Input!$E188,5,1)="6",$F37," "))</f>
        <v>0</v>
      </c>
      <c r="S37" s="27" t="b">
        <f>IF(Input!E188&gt;" ",IF(MID(Input!$E188,5,1)="7",$F37," "))</f>
        <v>0</v>
      </c>
      <c r="T37" s="27" t="b">
        <f>IF(Input!E188&gt;" ",IF(MID(Input!$E188,5,4)="8-02",$F37," "))</f>
        <v>0</v>
      </c>
      <c r="U37" s="27" t="b">
        <f>IF(Input!E188&gt;" ",IF(MID(Input!$E188,5,4)="8-05",$F37," "))</f>
        <v>0</v>
      </c>
      <c r="V37" s="27">
        <f t="shared" si="0"/>
        <v>0</v>
      </c>
      <c r="W37" s="12"/>
      <c r="X37" s="12"/>
      <c r="Y37" s="12"/>
      <c r="Z37" s="12"/>
      <c r="AA37" s="12"/>
      <c r="AB37" s="12"/>
      <c r="AC37" s="12"/>
      <c r="AD37" s="12"/>
      <c r="AE37" s="12"/>
      <c r="AF37" s="12"/>
      <c r="AG37" s="12"/>
      <c r="AH37" s="12"/>
      <c r="AI37" s="12"/>
      <c r="AJ37" s="12"/>
      <c r="AK37" s="12"/>
      <c r="AL37" s="12"/>
      <c r="AM37" s="12"/>
      <c r="AN37" s="12"/>
      <c r="AO37" s="12"/>
      <c r="AP37" s="12"/>
      <c r="AQ37" s="12"/>
      <c r="AR37" s="12"/>
      <c r="AS37" s="11"/>
      <c r="AT37" s="11"/>
      <c r="AU37" s="11"/>
      <c r="AV37" s="11"/>
      <c r="AW37" s="11"/>
      <c r="AX37" s="11"/>
      <c r="AY37" s="11"/>
      <c r="AZ37" s="11"/>
      <c r="BA37" s="11"/>
      <c r="BB37" s="11"/>
      <c r="BC37" s="11"/>
      <c r="BD37" s="11"/>
      <c r="BE37" s="11"/>
    </row>
    <row r="38" spans="1:57">
      <c r="A38" s="18" t="str">
        <f>IF(Input!E189&gt;" ",IF(MID(Input!E189,4,8)="25-99-00"," ",IF(MID(Input!E189,4,8)="37-99-00"," ",MID(Input!E189,4,8)))," ")</f>
        <v xml:space="preserve"> </v>
      </c>
      <c r="B38" s="392" t="str">
        <f>IF(Input!E189&gt;" ",IF(MID(Input!E189,4,8)="25-99-00"," ",IF(MID(Input!E189,4,8)="37-99-00"," ",MID(Input!E189,17,9)))," ")</f>
        <v xml:space="preserve"> </v>
      </c>
      <c r="C38" s="170" t="str">
        <f>IF(Input!E189&gt;" ",IF(MID(Input!E189,4,8)="25-99-00"," ",IF(MID(Input!E189,4,8)="37-99-00"," ",MID(Input!E189,29,24)))," ")</f>
        <v xml:space="preserve"> </v>
      </c>
      <c r="D38" s="392" t="str">
        <f>IF(Input!E189&gt;" ",IF(MID(Input!E189,4,8)="25-99-00"," ",IF(MID(Input!E189,4,8)="37-99-00"," ",MID(Input!E189,56,10)))," ")</f>
        <v xml:space="preserve"> </v>
      </c>
      <c r="E38" s="393" t="str">
        <f>IF(Input!E189&gt;" ",IF(MID(Input!E189,4,8)="25-99-00"," ",IF(MID(Input!E189,4,8)="37-99-00"," ",IF(ROUND(VALUE(MID(Input!E189,67,14)),0)&gt;0,ROUND(VALUE(MID(Input!E189,67,14)),0),IF(ROUNDUP(VALUE(MID(Input!E189,67,14)),0)=1,1))))," ")</f>
        <v xml:space="preserve"> </v>
      </c>
      <c r="F38" s="394" t="str">
        <f>IF(Input!E189&gt;" ",IF(G38="**",E38,0),"")</f>
        <v/>
      </c>
      <c r="G38" s="396" t="str">
        <f>Input!E227</f>
        <v xml:space="preserve"> </v>
      </c>
      <c r="H38" s="1"/>
      <c r="I38" s="16"/>
      <c r="J38" s="16"/>
      <c r="K38" s="27" t="b">
        <f>IF(Input!E189&gt;" ",IF(MID(Input!$E189,5,4)="1-50",$F38," "))</f>
        <v>0</v>
      </c>
      <c r="L38" s="27" t="b">
        <f>IF(Input!E189&gt;" ",IF(MID(Input!$E189,5,4)="1-90",$F38," "))</f>
        <v>0</v>
      </c>
      <c r="M38" s="27" t="b">
        <f>IF(Input!E189&gt;" ",IF(MID(Input!$E189,5,1)="2",$F38," "))</f>
        <v>0</v>
      </c>
      <c r="N38" s="27" t="b">
        <f>IF(Input!E189&gt;" ",IF(MID(Input!E189,5,1)="3",F38," "))</f>
        <v>0</v>
      </c>
      <c r="O38" s="27" t="b">
        <f>IF(Input!E189&gt;" ",IF(MID(Input!E189,5,4)="3-62",F38," "))</f>
        <v>0</v>
      </c>
      <c r="P38" s="27" t="b">
        <f>IF(Input!E189&gt;" ",IF(MID(Input!E189,5,1)="4",F38," "))</f>
        <v>0</v>
      </c>
      <c r="Q38" s="27" t="b">
        <f>IF(Input!E189&gt;" ",IF(MID(Input!$E189,5,1)="5",$F38," "))</f>
        <v>0</v>
      </c>
      <c r="R38" s="27" t="b">
        <f>IF(Input!E189&gt;" ",IF(MID(Input!$E189,5,1)="6",$F38," "))</f>
        <v>0</v>
      </c>
      <c r="S38" s="27" t="b">
        <f>IF(Input!E189&gt;" ",IF(MID(Input!$E189,5,1)="7",$F38," "))</f>
        <v>0</v>
      </c>
      <c r="T38" s="27" t="b">
        <f>IF(Input!E189&gt;" ",IF(MID(Input!$E189,5,4)="8-02",$F38," "))</f>
        <v>0</v>
      </c>
      <c r="U38" s="27" t="b">
        <f>IF(Input!E189&gt;" ",IF(MID(Input!$E189,5,4)="8-05",$F38," "))</f>
        <v>0</v>
      </c>
      <c r="V38" s="27">
        <f t="shared" si="0"/>
        <v>0</v>
      </c>
      <c r="W38" s="12"/>
      <c r="X38" s="12"/>
      <c r="Y38" s="12"/>
      <c r="Z38" s="12"/>
      <c r="AA38" s="12"/>
      <c r="AB38" s="12"/>
      <c r="AC38" s="12"/>
      <c r="AD38" s="12"/>
      <c r="AE38" s="12"/>
      <c r="AF38" s="12"/>
      <c r="AG38" s="12"/>
      <c r="AH38" s="12"/>
      <c r="AI38" s="12"/>
      <c r="AJ38" s="12"/>
      <c r="AK38" s="12"/>
      <c r="AL38" s="12"/>
      <c r="AM38" s="12"/>
      <c r="AN38" s="12"/>
      <c r="AO38" s="12"/>
      <c r="AP38" s="12"/>
      <c r="AQ38" s="12"/>
      <c r="AR38" s="12"/>
      <c r="AS38" s="11"/>
      <c r="AT38" s="11"/>
      <c r="AU38" s="11"/>
      <c r="AV38" s="11"/>
      <c r="AW38" s="11"/>
      <c r="AX38" s="11"/>
      <c r="AY38" s="11"/>
      <c r="AZ38" s="11"/>
      <c r="BA38" s="11"/>
      <c r="BB38" s="11"/>
      <c r="BC38" s="11"/>
      <c r="BD38" s="11"/>
      <c r="BE38" s="11"/>
    </row>
    <row r="39" spans="1:57">
      <c r="A39" s="18" t="str">
        <f>IF(Input!E190&gt;" ",IF(MID(Input!E190,4,8)="25-99-00"," ",IF(MID(Input!E190,4,8)="37-99-00"," ",MID(Input!E190,4,8)))," ")</f>
        <v xml:space="preserve"> </v>
      </c>
      <c r="B39" s="392" t="str">
        <f>IF(Input!E190&gt;" ",IF(MID(Input!E190,4,8)="25-99-00"," ",IF(MID(Input!E190,4,8)="37-99-00"," ",MID(Input!E190,17,9)))," ")</f>
        <v xml:space="preserve"> </v>
      </c>
      <c r="C39" s="170" t="str">
        <f>IF(Input!E190&gt;" ",IF(MID(Input!E190,4,8)="25-99-00"," ",IF(MID(Input!E190,4,8)="37-99-00"," ",MID(Input!E190,29,24)))," ")</f>
        <v xml:space="preserve"> </v>
      </c>
      <c r="D39" s="392" t="str">
        <f>IF(Input!E190&gt;" ",IF(MID(Input!E190,4,8)="25-99-00"," ",IF(MID(Input!E190,4,8)="37-99-00"," ",MID(Input!E190,56,10)))," ")</f>
        <v xml:space="preserve"> </v>
      </c>
      <c r="E39" s="393" t="str">
        <f>IF(Input!E190&gt;" ",IF(MID(Input!E190,4,8)="25-99-00"," ",IF(MID(Input!E190,4,8)="37-99-00"," ",IF(ROUND(VALUE(MID(Input!E190,67,14)),0)&gt;0,ROUND(VALUE(MID(Input!E190,67,14)),0),IF(ROUNDUP(VALUE(MID(Input!E190,67,14)),0)=1,1))))," ")</f>
        <v xml:space="preserve"> </v>
      </c>
      <c r="F39" s="394" t="str">
        <f>IF(Input!E190&gt;" ",IF(G39="**",E39,0),"")</f>
        <v/>
      </c>
      <c r="G39" s="396" t="str">
        <f>Input!E228</f>
        <v xml:space="preserve"> </v>
      </c>
      <c r="H39" s="1"/>
      <c r="I39" s="16"/>
      <c r="J39" s="16"/>
      <c r="K39" s="27" t="b">
        <f>IF(Input!E190&gt;" ",IF(MID(Input!$E190,5,4)="1-50",$F39," "))</f>
        <v>0</v>
      </c>
      <c r="L39" s="27" t="b">
        <f>IF(Input!E190&gt;" ",IF(MID(Input!$E190,5,4)="1-90",$F39," "))</f>
        <v>0</v>
      </c>
      <c r="M39" s="27" t="b">
        <f>IF(Input!E190&gt;" ",IF(MID(Input!$E190,5,1)="2",$F39," "))</f>
        <v>0</v>
      </c>
      <c r="N39" s="27" t="b">
        <f>IF(Input!E190&gt;" ",IF(MID(Input!E190,5,1)="3",F39," "))</f>
        <v>0</v>
      </c>
      <c r="O39" s="27" t="b">
        <f>IF(Input!E190&gt;" ",IF(MID(Input!E190,5,4)="3-62",F39," "))</f>
        <v>0</v>
      </c>
      <c r="P39" s="27" t="b">
        <f>IF(Input!E190&gt;" ",IF(MID(Input!E190,5,1)="4",F39," "))</f>
        <v>0</v>
      </c>
      <c r="Q39" s="27" t="b">
        <f>IF(Input!E190&gt;" ",IF(MID(Input!$E190,5,1)="5",$F39," "))</f>
        <v>0</v>
      </c>
      <c r="R39" s="27" t="b">
        <f>IF(Input!E190&gt;" ",IF(MID(Input!$E190,5,1)="6",$F39," "))</f>
        <v>0</v>
      </c>
      <c r="S39" s="27" t="b">
        <f>IF(Input!E190&gt;" ",IF(MID(Input!$E190,5,1)="7",$F39," "))</f>
        <v>0</v>
      </c>
      <c r="T39" s="27" t="b">
        <f>IF(Input!E190&gt;" ",IF(MID(Input!$E190,5,4)="8-02",$F39," "))</f>
        <v>0</v>
      </c>
      <c r="U39" s="27" t="b">
        <f>IF(Input!E190&gt;" ",IF(MID(Input!$E190,5,4)="8-05",$F39," "))</f>
        <v>0</v>
      </c>
      <c r="V39" s="27">
        <f t="shared" si="0"/>
        <v>0</v>
      </c>
      <c r="W39" s="12"/>
      <c r="X39" s="12"/>
      <c r="Y39" s="12"/>
      <c r="Z39" s="12"/>
      <c r="AA39" s="12"/>
      <c r="AB39" s="12"/>
      <c r="AC39" s="12"/>
      <c r="AD39" s="12"/>
      <c r="AE39" s="12"/>
      <c r="AF39" s="12"/>
      <c r="AG39" s="12"/>
      <c r="AH39" s="12"/>
      <c r="AI39" s="12"/>
      <c r="AJ39" s="12"/>
      <c r="AK39" s="12"/>
      <c r="AL39" s="12"/>
      <c r="AM39" s="12"/>
      <c r="AN39" s="12"/>
      <c r="AO39" s="12"/>
      <c r="AP39" s="12"/>
      <c r="AQ39" s="12"/>
      <c r="AR39" s="12"/>
      <c r="AS39" s="11"/>
      <c r="AT39" s="11"/>
      <c r="AU39" s="11"/>
      <c r="AV39" s="11"/>
      <c r="AW39" s="11"/>
      <c r="AX39" s="11"/>
      <c r="AY39" s="11"/>
      <c r="AZ39" s="11"/>
      <c r="BA39" s="11"/>
      <c r="BB39" s="11"/>
      <c r="BC39" s="11"/>
      <c r="BD39" s="11"/>
      <c r="BE39" s="11"/>
    </row>
    <row r="40" spans="1:57">
      <c r="A40" s="18" t="str">
        <f>IF(Input!E191&gt;" ",IF(MID(Input!E191,4,8)="25-99-00"," ",IF(MID(Input!E191,4,8)="37-99-00"," ",MID(Input!E191,4,8)))," ")</f>
        <v xml:space="preserve"> </v>
      </c>
      <c r="B40" s="392" t="str">
        <f>IF(Input!E191&gt;" ",IF(MID(Input!E191,4,8)="25-99-00"," ",IF(MID(Input!E191,4,8)="37-99-00"," ",MID(Input!E191,17,9)))," ")</f>
        <v xml:space="preserve"> </v>
      </c>
      <c r="C40" s="170" t="str">
        <f>IF(Input!E191&gt;" ",IF(MID(Input!E191,4,8)="25-99-00"," ",IF(MID(Input!E191,4,8)="37-99-00"," ",MID(Input!E191,29,24)))," ")</f>
        <v xml:space="preserve"> </v>
      </c>
      <c r="D40" s="392" t="str">
        <f>IF(Input!E191&gt;" ",IF(MID(Input!E191,4,8)="25-99-00"," ",IF(MID(Input!E191,4,8)="37-99-00"," ",MID(Input!E191,56,10)))," ")</f>
        <v xml:space="preserve"> </v>
      </c>
      <c r="E40" s="393" t="str">
        <f>IF(Input!E191&gt;" ",IF(MID(Input!E191,4,8)="25-99-00"," ",IF(MID(Input!E191,4,8)="37-99-00"," ",IF(ROUND(VALUE(MID(Input!E191,67,14)),0)&gt;0,ROUND(VALUE(MID(Input!E191,67,14)),0),IF(ROUNDUP(VALUE(MID(Input!E191,67,14)),0)=1,1))))," ")</f>
        <v xml:space="preserve"> </v>
      </c>
      <c r="F40" s="394" t="str">
        <f>IF(Input!E191&gt;" ",IF(G40="**",E40,0),"")</f>
        <v/>
      </c>
      <c r="G40" s="396" t="str">
        <f>Input!E229</f>
        <v xml:space="preserve"> </v>
      </c>
      <c r="H40" s="1"/>
      <c r="I40" s="16"/>
      <c r="J40" s="16"/>
      <c r="K40" s="27" t="b">
        <f>IF(Input!E191&gt;" ",IF(MID(Input!$E191,5,4)="1-50",$F40," "))</f>
        <v>0</v>
      </c>
      <c r="L40" s="27" t="b">
        <f>IF(Input!E191&gt;" ",IF(MID(Input!$E191,5,4)="1-90",$F40," "))</f>
        <v>0</v>
      </c>
      <c r="M40" s="27" t="b">
        <f>IF(Input!E191&gt;" ",IF(MID(Input!$E191,5,1)="2",$F40," "))</f>
        <v>0</v>
      </c>
      <c r="N40" s="27" t="b">
        <f>IF(Input!E191&gt;" ",IF(MID(Input!E191,5,1)="3",F40," "))</f>
        <v>0</v>
      </c>
      <c r="O40" s="27" t="b">
        <f>IF(Input!E191&gt;" ",IF(MID(Input!E191,5,4)="3-62",F40," "))</f>
        <v>0</v>
      </c>
      <c r="P40" s="27" t="b">
        <f>IF(Input!E191&gt;" ",IF(MID(Input!E191,5,1)="4",F40," "))</f>
        <v>0</v>
      </c>
      <c r="Q40" s="27" t="b">
        <f>IF(Input!E191&gt;" ",IF(MID(Input!$E191,5,1)="5",$F40," "))</f>
        <v>0</v>
      </c>
      <c r="R40" s="27" t="b">
        <f>IF(Input!E191&gt;" ",IF(MID(Input!$E191,5,1)="6",$F40," "))</f>
        <v>0</v>
      </c>
      <c r="S40" s="27" t="b">
        <f>IF(Input!E191&gt;" ",IF(MID(Input!$E191,5,1)="7",$F40," "))</f>
        <v>0</v>
      </c>
      <c r="T40" s="27" t="b">
        <f>IF(Input!E191&gt;" ",IF(MID(Input!$E191,5,4)="8-02",$F40," "))</f>
        <v>0</v>
      </c>
      <c r="U40" s="27" t="b">
        <f>IF(Input!E191&gt;" ",IF(MID(Input!$E191,5,4)="8-05",$F40," "))</f>
        <v>0</v>
      </c>
      <c r="V40" s="27">
        <f t="shared" si="0"/>
        <v>0</v>
      </c>
      <c r="W40" s="12"/>
      <c r="X40" s="12"/>
      <c r="Y40" s="12"/>
      <c r="Z40" s="12"/>
      <c r="AA40" s="12"/>
      <c r="AB40" s="12"/>
      <c r="AC40" s="12"/>
      <c r="AD40" s="12"/>
      <c r="AE40" s="12"/>
      <c r="AF40" s="12"/>
      <c r="AG40" s="12"/>
      <c r="AH40" s="12"/>
      <c r="AI40" s="12"/>
      <c r="AJ40" s="12"/>
      <c r="AK40" s="12"/>
      <c r="AL40" s="12"/>
      <c r="AM40" s="12"/>
      <c r="AN40" s="12"/>
      <c r="AO40" s="12"/>
      <c r="AP40" s="12"/>
      <c r="AQ40" s="12"/>
      <c r="AR40" s="12"/>
      <c r="AS40" s="11"/>
      <c r="AT40" s="11"/>
      <c r="AU40" s="11"/>
      <c r="AV40" s="11"/>
      <c r="AW40" s="11"/>
      <c r="AX40" s="11"/>
      <c r="AY40" s="11"/>
      <c r="AZ40" s="11"/>
      <c r="BA40" s="11"/>
      <c r="BB40" s="11"/>
      <c r="BC40" s="11"/>
      <c r="BD40" s="11"/>
      <c r="BE40" s="11"/>
    </row>
    <row r="41" spans="1:57">
      <c r="A41" s="18" t="str">
        <f>IF(Input!E192&gt;" ",IF(MID(Input!E192,4,8)="25-99-00"," ",IF(MID(Input!E192,4,8)="37-99-00"," ",MID(Input!E192,4,8)))," ")</f>
        <v xml:space="preserve"> </v>
      </c>
      <c r="B41" s="392" t="str">
        <f>IF(Input!E192&gt;" ",IF(MID(Input!E192,4,8)="25-99-00"," ",IF(MID(Input!E192,4,8)="37-99-00"," ",MID(Input!E192,17,9)))," ")</f>
        <v xml:space="preserve"> </v>
      </c>
      <c r="C41" s="170" t="str">
        <f>IF(Input!E192&gt;" ",IF(MID(Input!E192,4,8)="25-99-00"," ",IF(MID(Input!E192,4,8)="37-99-00"," ",MID(Input!E192,29,24)))," ")</f>
        <v xml:space="preserve"> </v>
      </c>
      <c r="D41" s="392" t="str">
        <f>IF(Input!E192&gt;" ",IF(MID(Input!E192,4,8)="25-99-00"," ",IF(MID(Input!E192,4,8)="37-99-00"," ",MID(Input!E192,56,10)))," ")</f>
        <v xml:space="preserve"> </v>
      </c>
      <c r="E41" s="393" t="str">
        <f>IF(Input!E192&gt;" ",IF(MID(Input!E192,4,8)="25-99-00"," ",IF(MID(Input!E192,4,8)="37-99-00"," ",IF(ROUND(VALUE(MID(Input!E192,67,14)),0)&gt;0,ROUND(VALUE(MID(Input!E192,67,14)),0),IF(ROUNDUP(VALUE(MID(Input!E192,67,14)),0)=1,1))))," ")</f>
        <v xml:space="preserve"> </v>
      </c>
      <c r="F41" s="394" t="str">
        <f>IF(Input!E192&gt;" ",IF(G41="**",E41,0),"")</f>
        <v/>
      </c>
      <c r="G41" s="396" t="str">
        <f>Input!E230</f>
        <v xml:space="preserve"> </v>
      </c>
      <c r="H41" s="1"/>
      <c r="I41" s="16"/>
      <c r="J41" s="16"/>
      <c r="K41" s="27" t="b">
        <f>IF(Input!E192&gt;" ",IF(MID(Input!$E192,5,4)="1-50",$F41," "))</f>
        <v>0</v>
      </c>
      <c r="L41" s="27" t="b">
        <f>IF(Input!E192&gt;" ",IF(MID(Input!$E192,5,4)="1-90",$F41," "))</f>
        <v>0</v>
      </c>
      <c r="M41" s="27" t="b">
        <f>IF(Input!E192&gt;" ",IF(MID(Input!$E192,5,1)="2",$F41," "))</f>
        <v>0</v>
      </c>
      <c r="N41" s="27" t="b">
        <f>IF(Input!E192&gt;" ",IF(MID(Input!E192,5,1)="3",F41," "))</f>
        <v>0</v>
      </c>
      <c r="O41" s="27" t="b">
        <f>IF(Input!E192&gt;" ",IF(MID(Input!E192,5,4)="3-62",F41," "))</f>
        <v>0</v>
      </c>
      <c r="P41" s="27" t="b">
        <f>IF(Input!E192&gt;" ",IF(MID(Input!E192,5,1)="4",F41," "))</f>
        <v>0</v>
      </c>
      <c r="Q41" s="27" t="b">
        <f>IF(Input!E192&gt;" ",IF(MID(Input!$E192,5,1)="5",$F41," "))</f>
        <v>0</v>
      </c>
      <c r="R41" s="27" t="b">
        <f>IF(Input!E192&gt;" ",IF(MID(Input!$E192,5,1)="6",$F41," "))</f>
        <v>0</v>
      </c>
      <c r="S41" s="27" t="b">
        <f>IF(Input!E192&gt;" ",IF(MID(Input!$E192,5,1)="7",$F41," "))</f>
        <v>0</v>
      </c>
      <c r="T41" s="27" t="b">
        <f>IF(Input!E192&gt;" ",IF(MID(Input!$E192,5,4)="8-02",$F41," "))</f>
        <v>0</v>
      </c>
      <c r="U41" s="27" t="b">
        <f>IF(Input!E192&gt;" ",IF(MID(Input!$E192,5,4)="8-05",$F41," "))</f>
        <v>0</v>
      </c>
      <c r="V41" s="27">
        <f t="shared" si="0"/>
        <v>0</v>
      </c>
      <c r="W41" s="12"/>
      <c r="X41" s="12"/>
      <c r="Y41" s="12"/>
      <c r="Z41" s="12"/>
      <c r="AA41" s="12"/>
      <c r="AB41" s="12"/>
      <c r="AC41" s="12"/>
      <c r="AD41" s="12"/>
      <c r="AE41" s="12"/>
      <c r="AF41" s="12"/>
      <c r="AG41" s="12"/>
      <c r="AH41" s="12"/>
      <c r="AI41" s="12"/>
      <c r="AJ41" s="12"/>
      <c r="AK41" s="12"/>
      <c r="AL41" s="12"/>
      <c r="AM41" s="12"/>
      <c r="AN41" s="12"/>
      <c r="AO41" s="12"/>
      <c r="AP41" s="12"/>
      <c r="AQ41" s="12"/>
      <c r="AR41" s="12"/>
      <c r="AS41" s="11"/>
      <c r="AT41" s="11"/>
      <c r="AU41" s="11"/>
      <c r="AV41" s="11"/>
      <c r="AW41" s="11"/>
      <c r="AX41" s="11"/>
      <c r="AY41" s="11"/>
      <c r="AZ41" s="11"/>
      <c r="BA41" s="11"/>
      <c r="BB41" s="11"/>
      <c r="BC41" s="11"/>
      <c r="BD41" s="11"/>
      <c r="BE41" s="11"/>
    </row>
    <row r="42" spans="1:57">
      <c r="A42" s="18" t="str">
        <f>IF(Input!E193&gt;" ",IF(MID(Input!E193,4,8)="25-99-00"," ",IF(MID(Input!E193,4,8)="37-99-00"," ",MID(Input!E193,4,8)))," ")</f>
        <v xml:space="preserve"> </v>
      </c>
      <c r="B42" s="392" t="str">
        <f>IF(Input!E193&gt;" ",IF(MID(Input!E193,4,8)="25-99-00"," ",IF(MID(Input!E193,4,8)="37-99-00"," ",MID(Input!E193,17,9)))," ")</f>
        <v xml:space="preserve"> </v>
      </c>
      <c r="C42" s="170" t="str">
        <f>IF(Input!E193&gt;" ",IF(MID(Input!E193,4,8)="25-99-00"," ",IF(MID(Input!E193,4,8)="37-99-00"," ",MID(Input!E193,29,24)))," ")</f>
        <v xml:space="preserve"> </v>
      </c>
      <c r="D42" s="392" t="str">
        <f>IF(Input!E193&gt;" ",IF(MID(Input!E193,4,8)="25-99-00"," ",IF(MID(Input!E193,4,8)="37-99-00"," ",MID(Input!E193,56,10)))," ")</f>
        <v xml:space="preserve"> </v>
      </c>
      <c r="E42" s="393" t="str">
        <f>IF(Input!E193&gt;" ",IF(MID(Input!E193,4,8)="25-99-00"," ",IF(MID(Input!E193,4,8)="37-99-00"," ",IF(ROUND(VALUE(MID(Input!E193,67,14)),0)&gt;0,ROUND(VALUE(MID(Input!E193,67,14)),0),IF(ROUNDUP(VALUE(MID(Input!E193,67,14)),0)=1,1))))," ")</f>
        <v xml:space="preserve"> </v>
      </c>
      <c r="F42" s="394" t="str">
        <f>IF(Input!E193&gt;" ",IF(G42="**",E42,0),"")</f>
        <v/>
      </c>
      <c r="G42" s="396" t="str">
        <f>Input!E231</f>
        <v xml:space="preserve"> </v>
      </c>
      <c r="H42" s="1"/>
      <c r="I42" s="16"/>
      <c r="J42" s="16"/>
      <c r="K42" s="27" t="b">
        <f>IF(Input!E193&gt;" ",IF(MID(Input!$E193,5,4)="1-50",$F42," "))</f>
        <v>0</v>
      </c>
      <c r="L42" s="27" t="b">
        <f>IF(Input!E193&gt;" ",IF(MID(Input!$E193,5,4)="1-90",$F42," "))</f>
        <v>0</v>
      </c>
      <c r="M42" s="27" t="b">
        <f>IF(Input!E193&gt;" ",IF(MID(Input!$E193,5,1)="2",$F42," "))</f>
        <v>0</v>
      </c>
      <c r="N42" s="27" t="b">
        <f>IF(Input!E193&gt;" ",IF(MID(Input!E193,5,1)="3",F42," "))</f>
        <v>0</v>
      </c>
      <c r="O42" s="27" t="b">
        <f>IF(Input!E193&gt;" ",IF(MID(Input!E193,5,4)="3-62",F42," "))</f>
        <v>0</v>
      </c>
      <c r="P42" s="27" t="b">
        <f>IF(Input!E193&gt;" ",IF(MID(Input!E193,5,1)="4",F42," "))</f>
        <v>0</v>
      </c>
      <c r="Q42" s="27" t="b">
        <f>IF(Input!E193&gt;" ",IF(MID(Input!$E193,5,1)="5",$F42," "))</f>
        <v>0</v>
      </c>
      <c r="R42" s="27" t="b">
        <f>IF(Input!E193&gt;" ",IF(MID(Input!$E193,5,1)="6",$F42," "))</f>
        <v>0</v>
      </c>
      <c r="S42" s="27" t="b">
        <f>IF(Input!E193&gt;" ",IF(MID(Input!$E193,5,1)="7",$F42," "))</f>
        <v>0</v>
      </c>
      <c r="T42" s="27" t="b">
        <f>IF(Input!E193&gt;" ",IF(MID(Input!$E193,5,4)="8-02",$F42," "))</f>
        <v>0</v>
      </c>
      <c r="U42" s="27" t="b">
        <f>IF(Input!E193&gt;" ",IF(MID(Input!$E193,5,4)="8-05",$F42," "))</f>
        <v>0</v>
      </c>
      <c r="V42" s="27">
        <f t="shared" si="0"/>
        <v>0</v>
      </c>
      <c r="W42" s="12"/>
      <c r="X42" s="12"/>
      <c r="Y42" s="12"/>
      <c r="Z42" s="12"/>
      <c r="AA42" s="12"/>
      <c r="AB42" s="12"/>
      <c r="AC42" s="12"/>
      <c r="AD42" s="12"/>
      <c r="AE42" s="12"/>
      <c r="AF42" s="12"/>
      <c r="AG42" s="12"/>
      <c r="AH42" s="12"/>
      <c r="AI42" s="12"/>
      <c r="AJ42" s="12"/>
      <c r="AK42" s="12"/>
      <c r="AL42" s="12"/>
      <c r="AM42" s="12"/>
      <c r="AN42" s="12"/>
      <c r="AO42" s="12"/>
      <c r="AP42" s="12"/>
      <c r="AQ42" s="12"/>
      <c r="AR42" s="12"/>
      <c r="AS42" s="11"/>
      <c r="AT42" s="11"/>
      <c r="AU42" s="11"/>
      <c r="AV42" s="11"/>
      <c r="AW42" s="11"/>
      <c r="AX42" s="11"/>
      <c r="AY42" s="11"/>
      <c r="AZ42" s="11"/>
      <c r="BA42" s="11"/>
      <c r="BB42" s="11"/>
      <c r="BC42" s="11"/>
      <c r="BD42" s="11"/>
      <c r="BE42" s="11"/>
    </row>
    <row r="43" spans="1:57">
      <c r="A43" s="18" t="str">
        <f>IF(Input!E194&gt;" ",IF(MID(Input!E194,4,8)="25-99-00"," ",IF(MID(Input!E194,4,8)="37-99-00"," ",MID(Input!E194,4,8)))," ")</f>
        <v xml:space="preserve"> </v>
      </c>
      <c r="B43" s="392" t="str">
        <f>IF(Input!E194&gt;" ",IF(MID(Input!E194,4,8)="25-99-00"," ",IF(MID(Input!E194,4,8)="37-99-00"," ",MID(Input!E194,17,9)))," ")</f>
        <v xml:space="preserve"> </v>
      </c>
      <c r="C43" s="170" t="str">
        <f>IF(Input!E194&gt;" ",IF(MID(Input!E194,4,8)="25-99-00"," ",IF(MID(Input!E194,4,8)="37-99-00"," ",MID(Input!E194,29,24)))," ")</f>
        <v xml:space="preserve"> </v>
      </c>
      <c r="D43" s="392" t="str">
        <f>IF(Input!E194&gt;" ",IF(MID(Input!E194,4,8)="25-99-00"," ",IF(MID(Input!E194,4,8)="37-99-00"," ",MID(Input!E194,56,10)))," ")</f>
        <v xml:space="preserve"> </v>
      </c>
      <c r="E43" s="393" t="str">
        <f>IF(Input!E194&gt;" ",IF(MID(Input!E194,4,8)="25-99-00"," ",IF(MID(Input!E194,4,8)="37-99-00"," ",IF(ROUND(VALUE(MID(Input!E194,67,14)),0)&gt;0,ROUND(VALUE(MID(Input!E194,67,14)),0),IF(ROUNDUP(VALUE(MID(Input!E194,67,14)),0)=1,1))))," ")</f>
        <v xml:space="preserve"> </v>
      </c>
      <c r="F43" s="394" t="str">
        <f>IF(Input!E194&gt;" ",IF(G43="**",E43,0),"")</f>
        <v/>
      </c>
      <c r="G43" s="396" t="str">
        <f>Input!E232</f>
        <v xml:space="preserve"> </v>
      </c>
      <c r="H43" s="1"/>
      <c r="I43" s="16"/>
      <c r="J43" s="16"/>
      <c r="K43" s="27" t="b">
        <f>IF(Input!E194&gt;" ",IF(MID(Input!$E194,5,4)="1-50",$F43," "))</f>
        <v>0</v>
      </c>
      <c r="L43" s="27" t="b">
        <f>IF(Input!E194&gt;" ",IF(MID(Input!$E194,5,4)="1-90",$F43," "))</f>
        <v>0</v>
      </c>
      <c r="M43" s="27" t="b">
        <f>IF(Input!E194&gt;" ",IF(MID(Input!$E194,5,1)="2",$F43," "))</f>
        <v>0</v>
      </c>
      <c r="N43" s="27" t="b">
        <f>IF(Input!E194&gt;" ",IF(MID(Input!E194,5,1)="3",F43," "))</f>
        <v>0</v>
      </c>
      <c r="O43" s="27" t="b">
        <f>IF(Input!E194&gt;" ",IF(MID(Input!E194,5,4)="3-62",F43," "))</f>
        <v>0</v>
      </c>
      <c r="P43" s="27" t="b">
        <f>IF(Input!E194&gt;" ",IF(MID(Input!E194,5,1)="4",F43," "))</f>
        <v>0</v>
      </c>
      <c r="Q43" s="27" t="b">
        <f>IF(Input!E194&gt;" ",IF(MID(Input!$E194,5,1)="5",$F43," "))</f>
        <v>0</v>
      </c>
      <c r="R43" s="27" t="b">
        <f>IF(Input!E194&gt;" ",IF(MID(Input!$E194,5,1)="6",$F43," "))</f>
        <v>0</v>
      </c>
      <c r="S43" s="27" t="b">
        <f>IF(Input!E194&gt;" ",IF(MID(Input!$E194,5,1)="7",$F43," "))</f>
        <v>0</v>
      </c>
      <c r="T43" s="27" t="b">
        <f>IF(Input!E194&gt;" ",IF(MID(Input!$E194,5,4)="8-02",$F43," "))</f>
        <v>0</v>
      </c>
      <c r="U43" s="27" t="b">
        <f>IF(Input!E194&gt;" ",IF(MID(Input!$E194,5,4)="8-05",$F43," "))</f>
        <v>0</v>
      </c>
      <c r="V43" s="27">
        <f t="shared" si="0"/>
        <v>0</v>
      </c>
      <c r="W43" s="12"/>
      <c r="X43" s="12"/>
      <c r="Y43" s="12"/>
      <c r="Z43" s="12"/>
      <c r="AA43" s="12"/>
      <c r="AB43" s="12"/>
      <c r="AC43" s="12"/>
      <c r="AD43" s="12"/>
      <c r="AE43" s="12"/>
      <c r="AF43" s="12"/>
      <c r="AG43" s="12"/>
      <c r="AH43" s="12"/>
      <c r="AI43" s="12"/>
      <c r="AJ43" s="12"/>
      <c r="AK43" s="12"/>
      <c r="AL43" s="12"/>
      <c r="AM43" s="12"/>
      <c r="AN43" s="12"/>
      <c r="AO43" s="12"/>
      <c r="AP43" s="12"/>
      <c r="AQ43" s="12"/>
      <c r="AR43" s="12"/>
      <c r="AS43" s="11"/>
      <c r="AT43" s="11"/>
      <c r="AU43" s="11"/>
      <c r="AV43" s="11"/>
      <c r="AW43" s="11"/>
      <c r="AX43" s="11"/>
      <c r="AY43" s="11"/>
      <c r="AZ43" s="11"/>
      <c r="BA43" s="11"/>
      <c r="BB43" s="11"/>
      <c r="BC43" s="11"/>
      <c r="BD43" s="11"/>
      <c r="BE43" s="11"/>
    </row>
    <row r="44" spans="1:57">
      <c r="A44" s="18" t="str">
        <f>IF(Input!E195&gt;" ",IF(MID(Input!E195,4,8)="25-99-00"," ",IF(MID(Input!E195,4,8)="37-99-00"," ",MID(Input!E195,4,8)))," ")</f>
        <v xml:space="preserve"> </v>
      </c>
      <c r="B44" s="392" t="str">
        <f>IF(Input!E195&gt;" ",IF(MID(Input!E195,4,8)="25-99-00"," ",IF(MID(Input!E195,4,8)="37-99-00"," ",MID(Input!E195,17,9)))," ")</f>
        <v xml:space="preserve"> </v>
      </c>
      <c r="C44" s="170" t="str">
        <f>IF(Input!E195&gt;" ",IF(MID(Input!E195,4,8)="25-99-00"," ",IF(MID(Input!E195,4,8)="37-99-00"," ",MID(Input!E195,29,24)))," ")</f>
        <v xml:space="preserve"> </v>
      </c>
      <c r="D44" s="392" t="str">
        <f>IF(Input!E195&gt;" ",IF(MID(Input!E195,4,8)="25-99-00"," ",IF(MID(Input!E195,4,8)="37-99-00"," ",MID(Input!E195,56,10)))," ")</f>
        <v xml:space="preserve"> </v>
      </c>
      <c r="E44" s="393" t="str">
        <f>IF(Input!E195&gt;" ",IF(MID(Input!E195,4,8)="25-99-00"," ",IF(MID(Input!E195,4,8)="37-99-00"," ",IF(ROUND(VALUE(MID(Input!E195,67,14)),0)&gt;0,ROUND(VALUE(MID(Input!E195,67,14)),0),IF(ROUNDUP(VALUE(MID(Input!E195,67,14)),0)=1,1))))," ")</f>
        <v xml:space="preserve"> </v>
      </c>
      <c r="F44" s="394" t="str">
        <f>IF(Input!E195&gt;" ",IF(G44="**",E44,0),"")</f>
        <v/>
      </c>
      <c r="G44" s="396" t="str">
        <f>Input!E233</f>
        <v xml:space="preserve"> </v>
      </c>
      <c r="H44" s="1"/>
      <c r="I44" s="16"/>
      <c r="J44" s="16"/>
      <c r="K44" s="27" t="b">
        <f>IF(Input!E195&gt;" ",IF(MID(Input!$E195,5,4)="1-50",$F44," "))</f>
        <v>0</v>
      </c>
      <c r="L44" s="27" t="b">
        <f>IF(Input!E195&gt;" ",IF(MID(Input!$E195,5,4)="1-90",$F44," "))</f>
        <v>0</v>
      </c>
      <c r="M44" s="27" t="b">
        <f>IF(Input!E195&gt;" ",IF(MID(Input!$E195,5,1)="2",$F44," "))</f>
        <v>0</v>
      </c>
      <c r="N44" s="27" t="b">
        <f>IF(Input!E195&gt;" ",IF(MID(Input!E195,5,1)="3",F44," "))</f>
        <v>0</v>
      </c>
      <c r="O44" s="27" t="b">
        <f>IF(Input!E195&gt;" ",IF(MID(Input!E195,5,4)="3-62",F44," "))</f>
        <v>0</v>
      </c>
      <c r="P44" s="27" t="b">
        <f>IF(Input!E195&gt;" ",IF(MID(Input!E195,5,1)="4",F44," "))</f>
        <v>0</v>
      </c>
      <c r="Q44" s="27" t="b">
        <f>IF(Input!E195&gt;" ",IF(MID(Input!$E195,5,1)="5",$F44," "))</f>
        <v>0</v>
      </c>
      <c r="R44" s="27" t="b">
        <f>IF(Input!E195&gt;" ",IF(MID(Input!$E195,5,1)="6",$F44," "))</f>
        <v>0</v>
      </c>
      <c r="S44" s="27" t="b">
        <f>IF(Input!E195&gt;" ",IF(MID(Input!$E195,5,1)="7",$F44," "))</f>
        <v>0</v>
      </c>
      <c r="T44" s="27" t="b">
        <f>IF(Input!E195&gt;" ",IF(MID(Input!$E195,5,4)="8-02",$F44," "))</f>
        <v>0</v>
      </c>
      <c r="U44" s="27" t="b">
        <f>IF(Input!E195&gt;" ",IF(MID(Input!$E195,5,4)="8-05",$F44," "))</f>
        <v>0</v>
      </c>
      <c r="V44" s="27">
        <f t="shared" si="0"/>
        <v>0</v>
      </c>
      <c r="W44" s="12"/>
      <c r="X44" s="12"/>
      <c r="Y44" s="12"/>
      <c r="Z44" s="12"/>
      <c r="AA44" s="12"/>
      <c r="AB44" s="12"/>
      <c r="AC44" s="12"/>
      <c r="AD44" s="12"/>
      <c r="AE44" s="12"/>
      <c r="AF44" s="12"/>
      <c r="AG44" s="12"/>
      <c r="AH44" s="12"/>
      <c r="AI44" s="12"/>
      <c r="AJ44" s="12"/>
      <c r="AK44" s="12"/>
      <c r="AL44" s="12"/>
      <c r="AM44" s="12"/>
      <c r="AN44" s="12"/>
      <c r="AO44" s="12"/>
      <c r="AP44" s="12"/>
      <c r="AQ44" s="12"/>
      <c r="AR44" s="12"/>
      <c r="AS44" s="11"/>
      <c r="AT44" s="11"/>
      <c r="AU44" s="11"/>
      <c r="AV44" s="11"/>
      <c r="AW44" s="11"/>
      <c r="AX44" s="11"/>
      <c r="AY44" s="11"/>
      <c r="AZ44" s="11"/>
      <c r="BA44" s="11"/>
      <c r="BB44" s="11"/>
      <c r="BC44" s="11"/>
      <c r="BD44" s="11"/>
      <c r="BE44" s="11"/>
    </row>
    <row r="45" spans="1:57">
      <c r="A45" s="18" t="str">
        <f>IF(Input!E196&gt;" ",IF(MID(Input!E196,4,8)="25-99-00"," ",IF(MID(Input!E196,4,8)="37-99-00"," ",MID(Input!E196,4,8)))," ")</f>
        <v xml:space="preserve"> </v>
      </c>
      <c r="B45" s="392" t="str">
        <f>IF(Input!E196&gt;" ",IF(MID(Input!E196,4,8)="25-99-00"," ",IF(MID(Input!E196,4,8)="37-99-00"," ",MID(Input!E196,17,9)))," ")</f>
        <v xml:space="preserve"> </v>
      </c>
      <c r="C45" s="170" t="str">
        <f>IF(Input!E196&gt;" ",IF(MID(Input!E196,4,8)="25-99-00"," ",IF(MID(Input!E196,4,8)="37-99-00"," ",MID(Input!E196,29,24)))," ")</f>
        <v xml:space="preserve"> </v>
      </c>
      <c r="D45" s="392" t="str">
        <f>IF(Input!E196&gt;" ",IF(MID(Input!E196,4,8)="25-99-00"," ",IF(MID(Input!E196,4,8)="37-99-00"," ",MID(Input!E196,56,10)))," ")</f>
        <v xml:space="preserve"> </v>
      </c>
      <c r="E45" s="393" t="str">
        <f>IF(Input!E196&gt;" ",IF(MID(Input!E196,4,8)="25-99-00"," ",IF(MID(Input!E196,4,8)="37-99-00"," ",IF(ROUND(VALUE(MID(Input!E196,67,14)),0)&gt;0,ROUND(VALUE(MID(Input!E196,67,14)),0),IF(ROUNDUP(VALUE(MID(Input!E196,67,14)),0)=1,1))))," ")</f>
        <v xml:space="preserve"> </v>
      </c>
      <c r="F45" s="394" t="str">
        <f>IF(Input!E196&gt;" ",IF(G45="**",E45,0),"")</f>
        <v/>
      </c>
      <c r="G45" s="396" t="str">
        <f>Input!E234</f>
        <v xml:space="preserve"> </v>
      </c>
      <c r="H45" s="1"/>
      <c r="I45" s="16"/>
      <c r="J45" s="16"/>
      <c r="K45" s="27" t="b">
        <f>IF(Input!E196&gt;" ",IF(MID(Input!$E196,5,4)="1-50",$F45," "))</f>
        <v>0</v>
      </c>
      <c r="L45" s="27" t="b">
        <f>IF(Input!E196&gt;" ",IF(MID(Input!$E196,5,4)="1-90",$F45," "))</f>
        <v>0</v>
      </c>
      <c r="M45" s="27" t="b">
        <f>IF(Input!E196&gt;" ",IF(MID(Input!$E196,5,1)="2",$F45," "))</f>
        <v>0</v>
      </c>
      <c r="N45" s="27" t="b">
        <f>IF(Input!E196&gt;" ",IF(MID(Input!E196,5,1)="3",F45," "))</f>
        <v>0</v>
      </c>
      <c r="O45" s="27" t="b">
        <f>IF(Input!E196&gt;" ",IF(MID(Input!E196,5,4)="3-62",F45," "))</f>
        <v>0</v>
      </c>
      <c r="P45" s="27" t="b">
        <f>IF(Input!E196&gt;" ",IF(MID(Input!E196,5,1)="4",F45," "))</f>
        <v>0</v>
      </c>
      <c r="Q45" s="27" t="b">
        <f>IF(Input!E196&gt;" ",IF(MID(Input!$E196,5,1)="5",$F45," "))</f>
        <v>0</v>
      </c>
      <c r="R45" s="27" t="b">
        <f>IF(Input!E196&gt;" ",IF(MID(Input!$E196,5,1)="6",$F45," "))</f>
        <v>0</v>
      </c>
      <c r="S45" s="27" t="b">
        <f>IF(Input!E196&gt;" ",IF(MID(Input!$E196,5,1)="7",$F45," "))</f>
        <v>0</v>
      </c>
      <c r="T45" s="27" t="b">
        <f>IF(Input!E196&gt;" ",IF(MID(Input!$E196,5,4)="8-02",$F45," "))</f>
        <v>0</v>
      </c>
      <c r="U45" s="27" t="b">
        <f>IF(Input!E196&gt;" ",IF(MID(Input!$E196,5,4)="8-05",$F45," "))</f>
        <v>0</v>
      </c>
      <c r="V45" s="27">
        <f t="shared" si="0"/>
        <v>0</v>
      </c>
      <c r="W45" s="12"/>
      <c r="X45" s="12"/>
      <c r="Y45" s="12"/>
      <c r="Z45" s="12"/>
      <c r="AA45" s="12"/>
      <c r="AB45" s="12"/>
      <c r="AC45" s="12"/>
      <c r="AD45" s="12"/>
      <c r="AE45" s="12"/>
      <c r="AF45" s="12"/>
      <c r="AG45" s="12"/>
      <c r="AH45" s="12"/>
      <c r="AI45" s="12"/>
      <c r="AJ45" s="12"/>
      <c r="AK45" s="12"/>
      <c r="AL45" s="12"/>
      <c r="AM45" s="12"/>
      <c r="AN45" s="12"/>
      <c r="AO45" s="12"/>
      <c r="AP45" s="12"/>
      <c r="AQ45" s="12"/>
      <c r="AR45" s="12"/>
      <c r="AS45" s="11"/>
      <c r="AT45" s="11"/>
      <c r="AU45" s="11"/>
      <c r="AV45" s="11"/>
      <c r="AW45" s="11"/>
      <c r="AX45" s="11"/>
      <c r="AY45" s="11"/>
      <c r="AZ45" s="11"/>
      <c r="BA45" s="11"/>
      <c r="BB45" s="11"/>
      <c r="BC45" s="11"/>
      <c r="BD45" s="11"/>
      <c r="BE45" s="11"/>
    </row>
    <row r="46" spans="1:57">
      <c r="A46" s="18" t="str">
        <f>IF(Input!E197&gt;" ",IF(MID(Input!E197,4,8)="25-99-00"," ",IF(MID(Input!E197,4,8)="37-99-00"," ",MID(Input!E197,4,8)))," ")</f>
        <v xml:space="preserve"> </v>
      </c>
      <c r="B46" s="392" t="str">
        <f>IF(Input!E197&gt;" ",IF(MID(Input!E197,4,8)="25-99-00"," ",IF(MID(Input!E197,4,8)="37-99-00"," ",MID(Input!E197,17,9)))," ")</f>
        <v xml:space="preserve"> </v>
      </c>
      <c r="C46" s="170" t="str">
        <f>IF(Input!E197&gt;" ",IF(MID(Input!E197,4,8)="25-99-00"," ",IF(MID(Input!E197,4,8)="37-99-00"," ",MID(Input!E197,29,24)))," ")</f>
        <v xml:space="preserve"> </v>
      </c>
      <c r="D46" s="392" t="str">
        <f>IF(Input!E197&gt;" ",IF(MID(Input!E197,4,8)="25-99-00"," ",IF(MID(Input!E197,4,8)="37-99-00"," ",MID(Input!E197,56,10)))," ")</f>
        <v xml:space="preserve"> </v>
      </c>
      <c r="E46" s="393" t="str">
        <f>IF(Input!E197&gt;" ",IF(MID(Input!E197,4,8)="25-99-00"," ",IF(MID(Input!E197,4,8)="37-99-00"," ",IF(ROUND(VALUE(MID(Input!E197,67,14)),0)&gt;0,ROUND(VALUE(MID(Input!E197,67,14)),0),IF(ROUNDUP(VALUE(MID(Input!E197,67,14)),0)=1,1))))," ")</f>
        <v xml:space="preserve"> </v>
      </c>
      <c r="F46" s="394" t="str">
        <f>IF(Input!E197&gt;" ",IF(G46="**",E46,0),"")</f>
        <v/>
      </c>
      <c r="G46" s="396" t="str">
        <f>Input!E235</f>
        <v xml:space="preserve"> </v>
      </c>
      <c r="H46" s="1"/>
      <c r="I46" s="16"/>
      <c r="J46" s="16"/>
      <c r="K46" s="27" t="b">
        <f>IF(Input!E197&gt;" ",IF(MID(Input!$E197,5,4)="1-50",$F46," "))</f>
        <v>0</v>
      </c>
      <c r="L46" s="27" t="b">
        <f>IF(Input!E197&gt;" ",IF(MID(Input!$E197,5,4)="1-90",$F46," "))</f>
        <v>0</v>
      </c>
      <c r="M46" s="27" t="b">
        <f>IF(Input!E197&gt;" ",IF(MID(Input!$E197,5,1)="2",$F46," "))</f>
        <v>0</v>
      </c>
      <c r="N46" s="27" t="b">
        <f>IF(Input!E197&gt;" ",IF(MID(Input!E197,5,1)="3",F46," "))</f>
        <v>0</v>
      </c>
      <c r="O46" s="27" t="b">
        <f>IF(Input!E197&gt;" ",IF(MID(Input!E197,5,4)="3-62",F46," "))</f>
        <v>0</v>
      </c>
      <c r="P46" s="27" t="b">
        <f>IF(Input!E197&gt;" ",IF(MID(Input!E197,5,1)="4",F46," "))</f>
        <v>0</v>
      </c>
      <c r="Q46" s="27" t="b">
        <f>IF(Input!E197&gt;" ",IF(MID(Input!$E197,5,1)="5",$F46," "))</f>
        <v>0</v>
      </c>
      <c r="R46" s="27" t="b">
        <f>IF(Input!E197&gt;" ",IF(MID(Input!$E197,5,1)="6",$F46," "))</f>
        <v>0</v>
      </c>
      <c r="S46" s="27" t="b">
        <f>IF(Input!E197&gt;" ",IF(MID(Input!$E197,5,1)="7",$F46," "))</f>
        <v>0</v>
      </c>
      <c r="T46" s="27" t="b">
        <f>IF(Input!E197&gt;" ",IF(MID(Input!$E197,5,4)="8-02",$F46," "))</f>
        <v>0</v>
      </c>
      <c r="U46" s="27" t="b">
        <f>IF(Input!E197&gt;" ",IF(MID(Input!$E197,5,4)="8-05",$F46," "))</f>
        <v>0</v>
      </c>
      <c r="V46" s="27">
        <f t="shared" si="0"/>
        <v>0</v>
      </c>
      <c r="W46" s="12"/>
      <c r="X46" s="12"/>
      <c r="Y46" s="12"/>
      <c r="Z46" s="12"/>
      <c r="AA46" s="12"/>
      <c r="AB46" s="12"/>
      <c r="AC46" s="12"/>
      <c r="AD46" s="12"/>
      <c r="AE46" s="12"/>
      <c r="AF46" s="12"/>
      <c r="AG46" s="12"/>
      <c r="AH46" s="12"/>
      <c r="AI46" s="12"/>
      <c r="AJ46" s="12"/>
      <c r="AK46" s="12"/>
      <c r="AL46" s="12"/>
      <c r="AM46" s="12"/>
      <c r="AN46" s="12"/>
      <c r="AO46" s="12"/>
      <c r="AP46" s="12"/>
      <c r="AQ46" s="12"/>
      <c r="AR46" s="12"/>
      <c r="AS46" s="11"/>
      <c r="AT46" s="11"/>
      <c r="AU46" s="11"/>
      <c r="AV46" s="11"/>
      <c r="AW46" s="11"/>
      <c r="AX46" s="11"/>
      <c r="AY46" s="11"/>
      <c r="AZ46" s="11"/>
      <c r="BA46" s="11"/>
      <c r="BB46" s="11"/>
      <c r="BC46" s="11"/>
      <c r="BD46" s="11"/>
      <c r="BE46" s="11"/>
    </row>
    <row r="47" spans="1:57">
      <c r="A47" s="18" t="str">
        <f>IF(Input!E198&gt;" ",IF(MID(Input!E198,4,8)="25-99-00"," ",IF(MID(Input!E198,4,8)="37-99-00"," ",MID(Input!E198,4,8)))," ")</f>
        <v xml:space="preserve"> </v>
      </c>
      <c r="B47" s="392" t="str">
        <f>IF(Input!E198&gt;" ",IF(MID(Input!E198,4,8)="25-99-00"," ",IF(MID(Input!E198,4,8)="37-99-00"," ",MID(Input!E198,17,9)))," ")</f>
        <v xml:space="preserve"> </v>
      </c>
      <c r="C47" s="170" t="str">
        <f>IF(Input!E198&gt;" ",IF(MID(Input!E198,4,8)="25-99-00"," ",IF(MID(Input!E198,4,8)="37-99-00"," ",MID(Input!E198,29,24)))," ")</f>
        <v xml:space="preserve"> </v>
      </c>
      <c r="D47" s="392" t="str">
        <f>IF(Input!E198&gt;" ",IF(MID(Input!E198,4,8)="25-99-00"," ",IF(MID(Input!E198,4,8)="37-99-00"," ",MID(Input!E198,56,10)))," ")</f>
        <v xml:space="preserve"> </v>
      </c>
      <c r="E47" s="393" t="str">
        <f>IF(Input!E198&gt;" ",IF(MID(Input!E198,4,8)="25-99-00"," ",IF(MID(Input!E198,4,8)="37-99-00"," ",IF(ROUND(VALUE(MID(Input!E198,67,14)),0)&gt;0,ROUND(VALUE(MID(Input!E198,67,14)),0),IF(ROUNDUP(VALUE(MID(Input!E198,67,14)),0)=1,1))))," ")</f>
        <v xml:space="preserve"> </v>
      </c>
      <c r="F47" s="394" t="str">
        <f>IF(Input!E198&gt;" ",IF(G47="**",E47,0),"")</f>
        <v/>
      </c>
      <c r="G47" s="396" t="str">
        <f>Input!E236</f>
        <v xml:space="preserve"> </v>
      </c>
      <c r="H47" s="1"/>
      <c r="I47" s="16"/>
      <c r="J47" s="16"/>
      <c r="K47" s="27" t="b">
        <f>IF(Input!E198&gt;" ",IF(MID(Input!$E198,5,4)="1-50",$F47," "))</f>
        <v>0</v>
      </c>
      <c r="L47" s="27" t="b">
        <f>IF(Input!E198&gt;" ",IF(MID(Input!$E198,5,4)="1-90",$F47," "))</f>
        <v>0</v>
      </c>
      <c r="M47" s="27" t="b">
        <f>IF(Input!E198&gt;" ",IF(MID(Input!$E198,5,1)="2",$F47," "))</f>
        <v>0</v>
      </c>
      <c r="N47" s="27" t="b">
        <f>IF(Input!E198&gt;" ",IF(MID(Input!E198,5,1)="3",F47," "))</f>
        <v>0</v>
      </c>
      <c r="O47" s="27" t="b">
        <f>IF(Input!E198&gt;" ",IF(MID(Input!E198,5,4)="3-62",F47," "))</f>
        <v>0</v>
      </c>
      <c r="P47" s="27" t="b">
        <f>IF(Input!E198&gt;" ",IF(MID(Input!E198,5,1)="4",F47," "))</f>
        <v>0</v>
      </c>
      <c r="Q47" s="27" t="b">
        <f>IF(Input!E198&gt;" ",IF(MID(Input!$E198,5,1)="5",$F47," "))</f>
        <v>0</v>
      </c>
      <c r="R47" s="27" t="b">
        <f>IF(Input!E198&gt;" ",IF(MID(Input!$E198,5,1)="6",$F47," "))</f>
        <v>0</v>
      </c>
      <c r="S47" s="27" t="b">
        <f>IF(Input!E198&gt;" ",IF(MID(Input!$E198,5,1)="7",$F47," "))</f>
        <v>0</v>
      </c>
      <c r="T47" s="27" t="b">
        <f>IF(Input!E198&gt;" ",IF(MID(Input!$E198,5,4)="8-02",$F47," "))</f>
        <v>0</v>
      </c>
      <c r="U47" s="27" t="b">
        <f>IF(Input!E198&gt;" ",IF(MID(Input!$E198,5,4)="8-05",$F47," "))</f>
        <v>0</v>
      </c>
      <c r="V47" s="27">
        <f t="shared" si="0"/>
        <v>0</v>
      </c>
      <c r="W47" s="12"/>
      <c r="X47" s="12"/>
      <c r="Y47" s="12"/>
      <c r="Z47" s="12"/>
      <c r="AA47" s="12"/>
      <c r="AB47" s="12"/>
      <c r="AC47" s="12"/>
      <c r="AD47" s="12"/>
      <c r="AE47" s="12"/>
      <c r="AF47" s="12"/>
      <c r="AG47" s="12"/>
      <c r="AH47" s="12"/>
      <c r="AI47" s="12"/>
      <c r="AJ47" s="12"/>
      <c r="AK47" s="12"/>
      <c r="AL47" s="12"/>
      <c r="AM47" s="12"/>
      <c r="AN47" s="12"/>
      <c r="AO47" s="12"/>
      <c r="AP47" s="12"/>
      <c r="AQ47" s="12"/>
      <c r="AR47" s="12"/>
      <c r="AS47" s="11"/>
      <c r="AT47" s="11"/>
      <c r="AU47" s="11"/>
      <c r="AV47" s="11"/>
      <c r="AW47" s="11"/>
      <c r="AX47" s="11"/>
      <c r="AY47" s="11"/>
      <c r="AZ47" s="11"/>
      <c r="BA47" s="11"/>
      <c r="BB47" s="11"/>
      <c r="BC47" s="11"/>
      <c r="BD47" s="11"/>
      <c r="BE47" s="11"/>
    </row>
    <row r="48" spans="1:57">
      <c r="A48" s="18" t="str">
        <f>IF(Input!E199&gt;" ",IF(MID(Input!E199,4,8)="25-99-00"," ",IF(MID(Input!E199,4,8)="37-99-00"," ",MID(Input!E199,4,8)))," ")</f>
        <v xml:space="preserve"> </v>
      </c>
      <c r="B48" s="392" t="str">
        <f>IF(Input!E199&gt;" ",IF(MID(Input!E199,4,8)="25-99-00"," ",IF(MID(Input!E199,4,8)="37-99-00"," ",MID(Input!E199,17,9)))," ")</f>
        <v xml:space="preserve"> </v>
      </c>
      <c r="C48" s="170" t="str">
        <f>IF(Input!E199&gt;" ",IF(MID(Input!E199,4,8)="25-99-00"," ",IF(MID(Input!E199,4,8)="37-99-00"," ",MID(Input!E199,29,24)))," ")</f>
        <v xml:space="preserve"> </v>
      </c>
      <c r="D48" s="392" t="str">
        <f>IF(Input!E199&gt;" ",IF(MID(Input!E199,4,8)="25-99-00"," ",IF(MID(Input!E199,4,8)="37-99-00"," ",MID(Input!E199,56,10)))," ")</f>
        <v xml:space="preserve"> </v>
      </c>
      <c r="E48" s="393" t="str">
        <f>IF(Input!E199&gt;" ",IF(MID(Input!E199,4,8)="25-99-00"," ",IF(MID(Input!E199,4,8)="37-99-00"," ",IF(ROUND(VALUE(MID(Input!E199,67,14)),0)&gt;0,ROUND(VALUE(MID(Input!E199,67,14)),0),IF(ROUNDUP(VALUE(MID(Input!E199,67,14)),0)=1,1))))," ")</f>
        <v xml:space="preserve"> </v>
      </c>
      <c r="F48" s="394" t="str">
        <f>IF(Input!E199&gt;" ",IF(G48="**",E48,0),"")</f>
        <v/>
      </c>
      <c r="G48" s="396" t="str">
        <f>Input!E237</f>
        <v xml:space="preserve"> </v>
      </c>
      <c r="H48" s="1"/>
      <c r="I48" s="16"/>
      <c r="J48" s="16"/>
      <c r="K48" s="27" t="b">
        <f>IF(Input!E199&gt;" ",IF(MID(Input!$E199,5,4)="1-50",$F48," "))</f>
        <v>0</v>
      </c>
      <c r="L48" s="27" t="b">
        <f>IF(Input!E199&gt;" ",IF(MID(Input!$E199,5,4)="1-90",$F48," "))</f>
        <v>0</v>
      </c>
      <c r="M48" s="27" t="b">
        <f>IF(Input!E199&gt;" ",IF(MID(Input!$E199,5,1)="2",$F48," "))</f>
        <v>0</v>
      </c>
      <c r="N48" s="27" t="b">
        <f>IF(Input!E199&gt;" ",IF(MID(Input!E199,5,1)="3",F48," "))</f>
        <v>0</v>
      </c>
      <c r="O48" s="27" t="b">
        <f>IF(Input!E199&gt;" ",IF(MID(Input!E199,5,4)="3-62",F48," "))</f>
        <v>0</v>
      </c>
      <c r="P48" s="27" t="b">
        <f>IF(Input!E199&gt;" ",IF(MID(Input!E199,5,1)="4",F48," "))</f>
        <v>0</v>
      </c>
      <c r="Q48" s="27" t="b">
        <f>IF(Input!E199&gt;" ",IF(MID(Input!$E199,5,1)="5",$F48," "))</f>
        <v>0</v>
      </c>
      <c r="R48" s="27" t="b">
        <f>IF(Input!E199&gt;" ",IF(MID(Input!$E199,5,1)="6",$F48," "))</f>
        <v>0</v>
      </c>
      <c r="S48" s="27" t="b">
        <f>IF(Input!E199&gt;" ",IF(MID(Input!$E199,5,1)="7",$F48," "))</f>
        <v>0</v>
      </c>
      <c r="T48" s="27" t="b">
        <f>IF(Input!E199&gt;" ",IF(MID(Input!$E199,5,4)="8-02",$F48," "))</f>
        <v>0</v>
      </c>
      <c r="U48" s="27" t="b">
        <f>IF(Input!E199&gt;" ",IF(MID(Input!$E199,5,4)="8-05",$F48," "))</f>
        <v>0</v>
      </c>
      <c r="V48" s="27">
        <f t="shared" si="0"/>
        <v>0</v>
      </c>
      <c r="W48" s="12"/>
      <c r="X48" s="12"/>
      <c r="Y48" s="12"/>
      <c r="Z48" s="12"/>
      <c r="AA48" s="12"/>
      <c r="AB48" s="12"/>
      <c r="AC48" s="12"/>
      <c r="AD48" s="12"/>
      <c r="AE48" s="12"/>
      <c r="AF48" s="12"/>
      <c r="AG48" s="12"/>
      <c r="AH48" s="12"/>
      <c r="AI48" s="12"/>
      <c r="AJ48" s="12"/>
      <c r="AK48" s="12"/>
      <c r="AL48" s="12"/>
      <c r="AM48" s="12"/>
      <c r="AN48" s="12"/>
      <c r="AO48" s="12"/>
      <c r="AP48" s="12"/>
      <c r="AQ48" s="12"/>
      <c r="AR48" s="12"/>
      <c r="AS48" s="11"/>
      <c r="AT48" s="11"/>
      <c r="AU48" s="11"/>
      <c r="AV48" s="11"/>
      <c r="AW48" s="11"/>
      <c r="AX48" s="11"/>
      <c r="AY48" s="11"/>
      <c r="AZ48" s="11"/>
      <c r="BA48" s="11"/>
      <c r="BB48" s="11"/>
      <c r="BC48" s="11"/>
      <c r="BD48" s="11"/>
      <c r="BE48" s="11"/>
    </row>
    <row r="49" spans="1:78">
      <c r="A49" s="18" t="str">
        <f>IF(Input!E200&gt;" ",IF(MID(Input!E200,4,8)="25-99-00"," ",IF(MID(Input!E200,4,8)="37-99-00"," ",MID(Input!E200,4,8)))," ")</f>
        <v xml:space="preserve"> </v>
      </c>
      <c r="B49" s="392" t="str">
        <f>IF(Input!E200&gt;" ",IF(MID(Input!E200,4,8)="25-99-00"," ",IF(MID(Input!E200,4,8)="37-99-00"," ",MID(Input!E200,17,9)))," ")</f>
        <v xml:space="preserve"> </v>
      </c>
      <c r="C49" s="170" t="str">
        <f>IF(Input!E200&gt;" ",IF(MID(Input!E200,4,8)="25-99-00"," ",IF(MID(Input!E200,4,8)="37-99-00"," ",MID(Input!E200,29,24)))," ")</f>
        <v xml:space="preserve"> </v>
      </c>
      <c r="D49" s="392" t="str">
        <f>IF(Input!E200&gt;" ",IF(MID(Input!E200,4,8)="25-99-00"," ",IF(MID(Input!E200,4,8)="37-99-00"," ",MID(Input!E200,56,10)))," ")</f>
        <v xml:space="preserve"> </v>
      </c>
      <c r="E49" s="393" t="str">
        <f>IF(Input!E200&gt;" ",IF(MID(Input!E200,4,8)="25-99-00"," ",IF(MID(Input!E200,4,8)="37-99-00"," ",IF(ROUND(VALUE(MID(Input!E200,67,14)),0)&gt;0,ROUND(VALUE(MID(Input!E200,67,14)),0),IF(ROUNDUP(VALUE(MID(Input!E200,67,14)),0)=1,1))))," ")</f>
        <v xml:space="preserve"> </v>
      </c>
      <c r="F49" s="394" t="str">
        <f>IF(Input!E200&gt;" ",IF(G49="**",E49,0),"")</f>
        <v/>
      </c>
      <c r="G49" s="396" t="str">
        <f>Input!E238</f>
        <v xml:space="preserve"> </v>
      </c>
      <c r="H49" s="1"/>
      <c r="I49" s="16"/>
      <c r="J49" s="16"/>
      <c r="K49" s="27" t="b">
        <f>IF(Input!E200&gt;" ",IF(MID(Input!$E200,5,4)="1-50",$F49," "))</f>
        <v>0</v>
      </c>
      <c r="L49" s="27" t="b">
        <f>IF(Input!E200&gt;" ",IF(MID(Input!$E200,5,4)="1-90",$F49," "))</f>
        <v>0</v>
      </c>
      <c r="M49" s="27" t="b">
        <f>IF(Input!E200&gt;" ",IF(MID(Input!$E200,5,1)="2",$F49," "))</f>
        <v>0</v>
      </c>
      <c r="N49" s="27" t="b">
        <f>IF(Input!E200&gt;" ",IF(MID(Input!E200,5,1)="3",F49," "))</f>
        <v>0</v>
      </c>
      <c r="O49" s="27" t="b">
        <f>IF(Input!E200&gt;" ",IF(MID(Input!E200,5,4)="3-62",F49," "))</f>
        <v>0</v>
      </c>
      <c r="P49" s="27" t="b">
        <f>IF(Input!E200&gt;" ",IF(MID(Input!E200,5,1)="4",F49," "))</f>
        <v>0</v>
      </c>
      <c r="Q49" s="27" t="b">
        <f>IF(Input!E200&gt;" ",IF(MID(Input!$E200,5,1)="5",$F49," "))</f>
        <v>0</v>
      </c>
      <c r="R49" s="27" t="b">
        <f>IF(Input!E200&gt;" ",IF(MID(Input!$E200,5,1)="6",$F49," "))</f>
        <v>0</v>
      </c>
      <c r="S49" s="27" t="b">
        <f>IF(Input!E200&gt;" ",IF(MID(Input!$E200,5,1)="7",$F49," "))</f>
        <v>0</v>
      </c>
      <c r="T49" s="27" t="b">
        <f>IF(Input!E200&gt;" ",IF(MID(Input!$E200,5,4)="8-02",$F49," "))</f>
        <v>0</v>
      </c>
      <c r="U49" s="27" t="b">
        <f>IF(Input!E200&gt;" ",IF(MID(Input!$E200,5,4)="8-05",$F49," "))</f>
        <v>0</v>
      </c>
      <c r="V49" s="27">
        <f t="shared" si="0"/>
        <v>0</v>
      </c>
      <c r="W49" s="12"/>
      <c r="X49" s="12"/>
      <c r="Y49" s="12"/>
      <c r="Z49" s="12"/>
      <c r="AA49" s="12"/>
      <c r="AB49" s="12"/>
      <c r="AC49" s="12"/>
      <c r="AD49" s="12"/>
      <c r="AE49" s="12"/>
      <c r="AF49" s="12"/>
      <c r="AG49" s="12"/>
      <c r="AH49" s="12"/>
      <c r="AI49" s="12"/>
      <c r="AJ49" s="12"/>
      <c r="AK49" s="12"/>
      <c r="AL49" s="12"/>
      <c r="AM49" s="12"/>
      <c r="AN49" s="12"/>
      <c r="AO49" s="12"/>
      <c r="AP49" s="12"/>
      <c r="AQ49" s="12"/>
      <c r="AR49" s="12"/>
      <c r="AS49" s="11"/>
      <c r="AT49" s="11"/>
      <c r="AU49" s="11"/>
      <c r="AV49" s="11"/>
      <c r="AW49" s="11"/>
      <c r="AX49" s="11"/>
      <c r="AY49" s="11"/>
      <c r="AZ49" s="11"/>
      <c r="BA49" s="11"/>
      <c r="BB49" s="11"/>
      <c r="BC49" s="11"/>
      <c r="BD49" s="11"/>
      <c r="BE49" s="11"/>
    </row>
    <row r="50" spans="1:78">
      <c r="A50" s="18" t="str">
        <f>IF(Input!E201&gt;" ",IF(MID(Input!E201,4,8)="25-99-00"," ",IF(MID(Input!E201,4,8)="37-99-00"," ",MID(Input!E201,4,8)))," ")</f>
        <v xml:space="preserve"> </v>
      </c>
      <c r="B50" s="392" t="str">
        <f>IF(Input!E201&gt;" ",IF(MID(Input!E201,4,8)="25-99-00"," ",IF(MID(Input!E201,4,8)="37-99-00"," ",MID(Input!E201,17,9)))," ")</f>
        <v xml:space="preserve"> </v>
      </c>
      <c r="C50" s="170" t="str">
        <f>IF(Input!E201&gt;" ",IF(MID(Input!E201,4,8)="25-99-00"," ",IF(MID(Input!E201,4,8)="37-99-00"," ",MID(Input!E201,29,24)))," ")</f>
        <v xml:space="preserve"> </v>
      </c>
      <c r="D50" s="392" t="str">
        <f>IF(Input!E201&gt;" ",IF(MID(Input!E201,4,8)="25-99-00"," ",IF(MID(Input!E201,4,8)="37-99-00"," ",MID(Input!E201,56,10)))," ")</f>
        <v xml:space="preserve"> </v>
      </c>
      <c r="E50" s="393" t="str">
        <f>IF(Input!E201&gt;" ",IF(MID(Input!E201,4,8)="25-99-00"," ",IF(MID(Input!E201,4,8)="37-99-00"," ",IF(ROUND(VALUE(MID(Input!E201,67,14)),0)&gt;0,ROUND(VALUE(MID(Input!E201,67,14)),0),IF(ROUNDUP(VALUE(MID(Input!E201,67,14)),0)=1,1))))," ")</f>
        <v xml:space="preserve"> </v>
      </c>
      <c r="F50" s="394" t="str">
        <f>IF(Input!E201&gt;" ",IF(G50="**",E50,0),"")</f>
        <v/>
      </c>
      <c r="G50" s="397" t="str">
        <f>Input!E239</f>
        <v xml:space="preserve"> </v>
      </c>
      <c r="H50" s="1"/>
      <c r="I50" s="16"/>
      <c r="J50" s="16"/>
      <c r="K50" s="27" t="b">
        <f>IF(Input!E201&gt;" ",IF(MID(Input!$E201,5,4)="1-50",$F50," "))</f>
        <v>0</v>
      </c>
      <c r="L50" s="27" t="b">
        <f>IF(Input!E201&gt;" ",IF(MID(Input!$E201,5,4)="1-90",$F50," "))</f>
        <v>0</v>
      </c>
      <c r="M50" s="27" t="b">
        <f>IF(Input!E201&gt;" ",IF(MID(Input!$E201,5,1)="2",$F50," "))</f>
        <v>0</v>
      </c>
      <c r="N50" s="27" t="b">
        <f>IF(Input!E201&gt;" ",IF(MID(Input!E201,5,1)="3",F50," "))</f>
        <v>0</v>
      </c>
      <c r="O50" s="27" t="b">
        <f>IF(Input!E201&gt;" ",IF(MID(Input!E201,5,4)="3-62",F50," "))</f>
        <v>0</v>
      </c>
      <c r="P50" s="27" t="b">
        <f>IF(Input!E201&gt;" ",IF(MID(Input!E201,5,1)="4",F50," "))</f>
        <v>0</v>
      </c>
      <c r="Q50" s="27" t="b">
        <f>IF(Input!E201&gt;" ",IF(MID(Input!$E201,5,1)="5",$F50," "))</f>
        <v>0</v>
      </c>
      <c r="R50" s="27" t="b">
        <f>IF(Input!E201&gt;" ",IF(MID(Input!$E201,5,1)="6",$F50," "))</f>
        <v>0</v>
      </c>
      <c r="S50" s="27" t="b">
        <f>IF(Input!E201&gt;" ",IF(MID(Input!$E201,5,1)="7",$F50," "))</f>
        <v>0</v>
      </c>
      <c r="T50" s="27" t="b">
        <f>IF(Input!E201&gt;" ",IF(MID(Input!$E201,5,4)="8-02",$F50," "))</f>
        <v>0</v>
      </c>
      <c r="U50" s="27" t="b">
        <f>IF(Input!E201&gt;" ",IF(MID(Input!$E201,5,4)="8-05",$F50," "))</f>
        <v>0</v>
      </c>
      <c r="V50" s="36">
        <f t="shared" si="0"/>
        <v>0</v>
      </c>
      <c r="W50" s="12"/>
      <c r="X50" s="12"/>
      <c r="Y50" s="12"/>
      <c r="Z50" s="12"/>
      <c r="AA50" s="12"/>
      <c r="AB50" s="12"/>
      <c r="AC50" s="12"/>
      <c r="AD50" s="12"/>
      <c r="AE50" s="12"/>
      <c r="AF50" s="12"/>
      <c r="AG50" s="12"/>
      <c r="AH50" s="12"/>
      <c r="AI50" s="12"/>
      <c r="AJ50" s="12"/>
      <c r="AK50" s="12"/>
      <c r="AL50" s="12"/>
      <c r="AM50" s="12"/>
      <c r="AN50" s="12"/>
      <c r="AO50" s="12"/>
      <c r="AP50" s="12"/>
      <c r="AQ50" s="12"/>
      <c r="AR50" s="12"/>
      <c r="AS50" s="11"/>
      <c r="AT50" s="11"/>
      <c r="AU50" s="11"/>
      <c r="AV50" s="11"/>
      <c r="AW50" s="11"/>
      <c r="AX50" s="11"/>
      <c r="AY50" s="11"/>
      <c r="AZ50" s="11"/>
      <c r="BA50" s="11"/>
      <c r="BB50" s="11"/>
      <c r="BC50" s="11"/>
      <c r="BD50" s="11"/>
      <c r="BE50" s="11"/>
    </row>
    <row r="51" spans="1:78" ht="16.2" thickBot="1">
      <c r="A51" s="37"/>
      <c r="B51" s="398"/>
      <c r="C51" s="399"/>
      <c r="D51" s="399"/>
      <c r="E51" s="400">
        <f>SUM(E23:E50)</f>
        <v>0</v>
      </c>
      <c r="F51" s="400">
        <f>SUM(F23:F50)</f>
        <v>0</v>
      </c>
      <c r="G51" s="401"/>
      <c r="H51" s="1"/>
      <c r="I51" s="19"/>
      <c r="J51" s="19"/>
      <c r="K51" s="33">
        <f t="shared" ref="K51:U51" si="1">SUM(K23:K50)</f>
        <v>0</v>
      </c>
      <c r="L51" s="33">
        <f t="shared" si="1"/>
        <v>0</v>
      </c>
      <c r="M51" s="33">
        <f t="shared" si="1"/>
        <v>0</v>
      </c>
      <c r="N51" s="33">
        <f t="shared" si="1"/>
        <v>0</v>
      </c>
      <c r="O51" s="33">
        <f t="shared" si="1"/>
        <v>0</v>
      </c>
      <c r="P51" s="33">
        <f t="shared" si="1"/>
        <v>0</v>
      </c>
      <c r="Q51" s="33">
        <f t="shared" si="1"/>
        <v>0</v>
      </c>
      <c r="R51" s="33">
        <f t="shared" si="1"/>
        <v>0</v>
      </c>
      <c r="S51" s="33">
        <f t="shared" si="1"/>
        <v>0</v>
      </c>
      <c r="T51" s="33">
        <f t="shared" si="1"/>
        <v>0</v>
      </c>
      <c r="U51" s="33">
        <f t="shared" si="1"/>
        <v>0</v>
      </c>
      <c r="V51" s="33">
        <f>SUM(K51:U51)-O51</f>
        <v>0</v>
      </c>
      <c r="W51" s="17"/>
      <c r="X51" s="17"/>
      <c r="Y51" s="17"/>
      <c r="Z51" s="17"/>
      <c r="AA51" s="17"/>
      <c r="AB51" s="17"/>
      <c r="AC51" s="17"/>
      <c r="AD51" s="17"/>
      <c r="AE51" s="17"/>
      <c r="AF51" s="17"/>
      <c r="AG51" s="17"/>
      <c r="AH51" s="17"/>
      <c r="AI51" s="17"/>
      <c r="AJ51" s="17"/>
      <c r="AK51" s="17"/>
      <c r="AL51" s="17"/>
      <c r="AM51" s="17"/>
      <c r="AN51" s="17"/>
      <c r="AO51" s="17"/>
      <c r="AP51" s="17"/>
      <c r="AQ51" s="17"/>
      <c r="AR51" s="17"/>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row>
    <row r="52" spans="1:78" ht="16.2" thickTop="1">
      <c r="A52" s="2"/>
      <c r="B52" s="358"/>
      <c r="C52" s="358"/>
      <c r="D52" s="358"/>
      <c r="E52" s="402"/>
      <c r="F52" s="358"/>
      <c r="G52" s="358"/>
      <c r="H52" s="1"/>
      <c r="I52" s="19"/>
      <c r="J52" s="19"/>
      <c r="K52" s="29"/>
      <c r="L52" s="29"/>
      <c r="N52" s="30"/>
      <c r="O52" s="30"/>
      <c r="P52" s="30"/>
      <c r="Q52" s="30"/>
      <c r="R52" s="30"/>
      <c r="S52" s="30"/>
      <c r="T52" s="30"/>
      <c r="AC52" s="12"/>
      <c r="AD52" s="12"/>
      <c r="AE52" s="12"/>
      <c r="AF52" s="12"/>
      <c r="AG52" s="12"/>
      <c r="AH52" s="12"/>
      <c r="AI52" s="12"/>
      <c r="AJ52" s="12"/>
      <c r="AK52" s="12"/>
      <c r="AL52" s="12"/>
      <c r="AM52" s="12"/>
      <c r="AN52" s="12"/>
      <c r="AO52" s="12"/>
      <c r="AP52" s="12"/>
      <c r="AQ52" s="12"/>
      <c r="AR52" s="12"/>
    </row>
    <row r="53" spans="1:78">
      <c r="A53" s="1"/>
      <c r="C53" s="358"/>
      <c r="D53" s="358"/>
      <c r="F53" s="403"/>
      <c r="G53" s="404"/>
      <c r="H53" s="1"/>
      <c r="I53" s="19"/>
      <c r="J53" s="19"/>
      <c r="K53" s="29"/>
      <c r="L53" s="29"/>
      <c r="N53" s="30"/>
      <c r="O53" s="30"/>
      <c r="P53" s="30"/>
      <c r="Q53" s="30"/>
      <c r="R53" s="30"/>
      <c r="S53" s="30"/>
      <c r="T53" s="30"/>
      <c r="AC53" s="12"/>
      <c r="AD53" s="12"/>
      <c r="AE53" s="12"/>
      <c r="AF53" s="12"/>
      <c r="AG53" s="12"/>
      <c r="AH53" s="12"/>
      <c r="AI53" s="12"/>
      <c r="AJ53" s="12"/>
      <c r="AK53" s="12"/>
      <c r="AL53" s="12"/>
      <c r="AM53" s="12"/>
      <c r="AN53" s="12"/>
      <c r="AO53" s="12"/>
      <c r="AP53" s="12"/>
      <c r="AQ53" s="12"/>
      <c r="AR53" s="12"/>
    </row>
    <row r="54" spans="1:78">
      <c r="A54" s="1"/>
      <c r="C54" s="358"/>
      <c r="D54" s="358"/>
      <c r="F54" s="403"/>
      <c r="G54" s="404"/>
      <c r="H54" s="1"/>
      <c r="I54" s="17"/>
      <c r="J54" s="17"/>
      <c r="K54" s="31"/>
      <c r="L54" s="31"/>
      <c r="N54" s="30"/>
      <c r="O54" s="30"/>
      <c r="P54" s="30"/>
      <c r="Q54" s="30"/>
      <c r="R54" s="30"/>
      <c r="S54" s="30"/>
      <c r="T54" s="30"/>
      <c r="AC54" s="12"/>
      <c r="AD54" s="12"/>
      <c r="AE54" s="12"/>
      <c r="AF54" s="12"/>
      <c r="AG54" s="12"/>
      <c r="AH54" s="12"/>
      <c r="AI54" s="12"/>
      <c r="AJ54" s="12"/>
      <c r="AK54" s="12"/>
      <c r="AL54" s="12"/>
      <c r="AM54" s="12"/>
      <c r="AN54" s="12"/>
      <c r="AO54" s="12"/>
      <c r="AP54" s="12"/>
      <c r="AQ54" s="12"/>
      <c r="AR54" s="12"/>
    </row>
    <row r="55" spans="1:78">
      <c r="A55" s="1"/>
      <c r="C55" s="358"/>
      <c r="D55" s="358"/>
      <c r="F55" s="403"/>
      <c r="G55" s="404"/>
      <c r="H55" s="1"/>
      <c r="I55" s="17"/>
      <c r="J55" s="17"/>
      <c r="K55" s="31"/>
      <c r="L55" s="31"/>
      <c r="N55" s="30"/>
      <c r="O55" s="30"/>
      <c r="P55" s="30"/>
      <c r="Q55" s="30"/>
      <c r="R55" s="30"/>
      <c r="S55" s="30"/>
      <c r="T55" s="30"/>
      <c r="AC55" s="12"/>
      <c r="AD55" s="12"/>
      <c r="AE55" s="12"/>
      <c r="AF55" s="12"/>
      <c r="AG55" s="12"/>
      <c r="AH55" s="12"/>
      <c r="AI55" s="12"/>
      <c r="AJ55" s="12"/>
      <c r="AK55" s="12"/>
      <c r="AL55" s="12"/>
      <c r="AM55" s="12"/>
      <c r="AN55" s="12"/>
      <c r="AO55" s="12"/>
      <c r="AP55" s="12"/>
      <c r="AQ55" s="12"/>
      <c r="AR55" s="12"/>
    </row>
    <row r="56" spans="1:78">
      <c r="A56" s="1"/>
      <c r="C56" s="358"/>
      <c r="D56" s="358"/>
      <c r="F56" s="403"/>
      <c r="G56" s="404"/>
      <c r="H56" s="1"/>
      <c r="I56" s="17"/>
      <c r="J56" s="17"/>
      <c r="K56" s="31"/>
      <c r="L56" s="31"/>
      <c r="M56" s="31"/>
      <c r="U56" s="32"/>
      <c r="V56" s="32"/>
      <c r="W56" s="12"/>
      <c r="X56" s="12"/>
      <c r="Y56" s="12"/>
      <c r="Z56" s="12"/>
      <c r="AA56" s="12"/>
      <c r="AB56" s="12"/>
      <c r="AC56" s="12"/>
      <c r="AD56" s="12"/>
      <c r="AE56" s="12"/>
      <c r="AF56" s="12"/>
      <c r="AG56" s="12"/>
      <c r="AH56" s="12"/>
      <c r="AI56" s="12"/>
      <c r="AJ56" s="12"/>
      <c r="AK56" s="12"/>
      <c r="AL56" s="12"/>
      <c r="AM56" s="12"/>
      <c r="AN56" s="12"/>
      <c r="AO56" s="12"/>
      <c r="AP56" s="12"/>
      <c r="AQ56" s="12"/>
      <c r="AR56" s="12"/>
    </row>
    <row r="57" spans="1:78">
      <c r="A57" s="1"/>
      <c r="C57" s="358"/>
      <c r="D57" s="358"/>
      <c r="F57" s="403"/>
      <c r="G57" s="404"/>
      <c r="H57" s="1"/>
      <c r="I57" s="17"/>
      <c r="J57" s="17"/>
      <c r="K57" s="31"/>
      <c r="L57" s="31"/>
      <c r="M57" s="31"/>
      <c r="U57" s="32"/>
      <c r="V57" s="32"/>
      <c r="W57" s="12"/>
      <c r="X57" s="12"/>
      <c r="Y57" s="12"/>
      <c r="Z57" s="12"/>
      <c r="AA57" s="12"/>
      <c r="AB57" s="12"/>
      <c r="AC57" s="12"/>
      <c r="AD57" s="12"/>
      <c r="AE57" s="12"/>
      <c r="AF57" s="12"/>
      <c r="AG57" s="12"/>
      <c r="AH57" s="12"/>
      <c r="AI57" s="12"/>
      <c r="AJ57" s="12"/>
      <c r="AK57" s="12"/>
      <c r="AL57" s="12"/>
      <c r="AM57" s="12"/>
      <c r="AN57" s="12"/>
      <c r="AO57" s="12"/>
      <c r="AP57" s="12"/>
      <c r="AQ57" s="12"/>
      <c r="AR57" s="12"/>
    </row>
    <row r="58" spans="1:78">
      <c r="A58" s="1"/>
      <c r="C58" s="358"/>
      <c r="D58" s="358"/>
      <c r="F58" s="403"/>
      <c r="G58" s="404"/>
      <c r="H58" s="1"/>
      <c r="I58" s="17"/>
      <c r="J58" s="17"/>
      <c r="K58" s="31"/>
      <c r="L58" s="31"/>
      <c r="M58" s="31"/>
      <c r="U58" s="32"/>
      <c r="V58" s="32"/>
      <c r="W58" s="12"/>
      <c r="X58" s="12"/>
      <c r="Y58" s="12"/>
      <c r="Z58" s="12"/>
      <c r="AA58" s="12"/>
      <c r="AB58" s="12"/>
      <c r="AC58" s="12"/>
      <c r="AD58" s="12"/>
      <c r="AE58" s="12"/>
      <c r="AF58" s="12"/>
      <c r="AG58" s="12"/>
      <c r="AH58" s="12"/>
      <c r="AI58" s="12"/>
      <c r="AJ58" s="12"/>
      <c r="AK58" s="12"/>
      <c r="AL58" s="12"/>
      <c r="AM58" s="12"/>
      <c r="AN58" s="12"/>
      <c r="AO58" s="12"/>
      <c r="AP58" s="12"/>
      <c r="AQ58" s="12"/>
      <c r="AR58" s="12"/>
    </row>
    <row r="59" spans="1:78">
      <c r="A59" s="1"/>
      <c r="C59" s="358"/>
      <c r="D59" s="358"/>
      <c r="F59" s="403"/>
      <c r="G59" s="404"/>
      <c r="H59" s="1"/>
      <c r="I59" s="17"/>
      <c r="J59" s="17"/>
      <c r="K59" s="31"/>
      <c r="L59" s="31"/>
      <c r="M59" s="31"/>
      <c r="U59" s="32"/>
      <c r="V59" s="32"/>
      <c r="W59" s="12"/>
      <c r="X59" s="12"/>
      <c r="Y59" s="12"/>
      <c r="Z59" s="12"/>
      <c r="AA59" s="12"/>
      <c r="AB59" s="12"/>
      <c r="AC59" s="12"/>
      <c r="AD59" s="12"/>
      <c r="AE59" s="12"/>
      <c r="AF59" s="12"/>
      <c r="AG59" s="12"/>
      <c r="AH59" s="12"/>
      <c r="AI59" s="12"/>
      <c r="AJ59" s="12"/>
      <c r="AK59" s="12"/>
      <c r="AL59" s="12"/>
      <c r="AM59" s="12"/>
      <c r="AN59" s="12"/>
      <c r="AO59" s="12"/>
      <c r="AP59" s="12"/>
      <c r="AQ59" s="12"/>
      <c r="AR59" s="12"/>
    </row>
    <row r="60" spans="1:78">
      <c r="A60" s="1"/>
      <c r="C60" s="358"/>
      <c r="D60" s="358"/>
      <c r="F60" s="403"/>
      <c r="G60" s="404"/>
      <c r="H60" s="1"/>
      <c r="I60" s="17"/>
      <c r="J60" s="17"/>
      <c r="K60" s="31"/>
      <c r="L60" s="31"/>
      <c r="M60" s="31"/>
      <c r="U60" s="32"/>
      <c r="V60" s="32"/>
      <c r="W60" s="12"/>
      <c r="X60" s="12"/>
      <c r="Y60" s="12"/>
      <c r="Z60" s="12"/>
      <c r="AA60" s="12"/>
      <c r="AB60" s="12"/>
      <c r="AC60" s="12"/>
      <c r="AD60" s="12"/>
      <c r="AE60" s="12"/>
      <c r="AF60" s="12"/>
      <c r="AG60" s="12"/>
      <c r="AH60" s="12"/>
      <c r="AI60" s="12"/>
      <c r="AJ60" s="12"/>
      <c r="AK60" s="12"/>
      <c r="AL60" s="12"/>
      <c r="AM60" s="12"/>
      <c r="AN60" s="12"/>
      <c r="AO60" s="12"/>
      <c r="AP60" s="12"/>
      <c r="AQ60" s="12"/>
      <c r="AR60" s="12"/>
    </row>
    <row r="61" spans="1:78">
      <c r="A61" s="1"/>
      <c r="C61" s="358"/>
      <c r="D61" s="358"/>
      <c r="F61" s="403"/>
      <c r="G61" s="404"/>
      <c r="H61" s="1"/>
      <c r="I61" s="17"/>
      <c r="J61" s="17"/>
      <c r="K61" s="31"/>
      <c r="L61" s="31"/>
      <c r="M61" s="31"/>
      <c r="U61" s="32"/>
      <c r="V61" s="32"/>
      <c r="W61" s="12"/>
      <c r="X61" s="12"/>
      <c r="Y61" s="12"/>
      <c r="Z61" s="12"/>
      <c r="AA61" s="12"/>
      <c r="AB61" s="12"/>
      <c r="AC61" s="12"/>
      <c r="AD61" s="12"/>
      <c r="AE61" s="12"/>
      <c r="AF61" s="12"/>
      <c r="AG61" s="12"/>
      <c r="AH61" s="12"/>
      <c r="AI61" s="12"/>
      <c r="AJ61" s="12"/>
      <c r="AK61" s="12"/>
      <c r="AL61" s="12"/>
      <c r="AM61" s="12"/>
      <c r="AN61" s="12"/>
      <c r="AO61" s="12"/>
      <c r="AP61" s="12"/>
      <c r="AQ61" s="12"/>
      <c r="AR61" s="12"/>
    </row>
    <row r="62" spans="1:78">
      <c r="A62" s="1"/>
      <c r="C62" s="358"/>
      <c r="D62" s="358"/>
      <c r="F62" s="403"/>
      <c r="G62" s="404"/>
      <c r="H62" s="1"/>
      <c r="I62" s="17"/>
      <c r="J62" s="17"/>
      <c r="K62" s="31"/>
      <c r="L62" s="31"/>
      <c r="M62" s="31"/>
      <c r="U62" s="32"/>
      <c r="V62" s="32"/>
      <c r="W62" s="12"/>
      <c r="X62" s="12"/>
      <c r="Y62" s="12"/>
      <c r="Z62" s="12"/>
      <c r="AA62" s="12"/>
      <c r="AB62" s="12"/>
      <c r="AC62" s="12"/>
      <c r="AD62" s="12"/>
      <c r="AE62" s="12"/>
      <c r="AF62" s="12"/>
      <c r="AG62" s="12"/>
      <c r="AH62" s="12"/>
      <c r="AI62" s="12"/>
      <c r="AJ62" s="12"/>
      <c r="AK62" s="12"/>
      <c r="AL62" s="12"/>
      <c r="AM62" s="12"/>
      <c r="AN62" s="12"/>
      <c r="AO62" s="12"/>
      <c r="AP62" s="12"/>
      <c r="AQ62" s="12"/>
      <c r="AR62" s="12"/>
    </row>
    <row r="63" spans="1:78">
      <c r="A63" s="1"/>
      <c r="C63" s="358"/>
      <c r="D63" s="358"/>
      <c r="F63" s="403"/>
      <c r="G63" s="404"/>
      <c r="H63" s="1"/>
      <c r="I63" s="17"/>
      <c r="J63" s="17"/>
      <c r="K63" s="31"/>
      <c r="L63" s="31"/>
      <c r="M63" s="31"/>
      <c r="U63" s="32"/>
      <c r="V63" s="32"/>
      <c r="W63" s="12"/>
      <c r="X63" s="12"/>
      <c r="Y63" s="12"/>
      <c r="Z63" s="12"/>
      <c r="AA63" s="12"/>
      <c r="AB63" s="12"/>
      <c r="AC63" s="12"/>
      <c r="AD63" s="12"/>
      <c r="AE63" s="12"/>
      <c r="AF63" s="12"/>
      <c r="AG63" s="12"/>
      <c r="AH63" s="12"/>
      <c r="AI63" s="12"/>
      <c r="AJ63" s="12"/>
      <c r="AK63" s="12"/>
      <c r="AL63" s="12"/>
      <c r="AM63" s="12"/>
      <c r="AN63" s="12"/>
      <c r="AO63" s="12"/>
      <c r="AP63" s="12"/>
      <c r="AQ63" s="12"/>
      <c r="AR63" s="12"/>
    </row>
    <row r="64" spans="1:78">
      <c r="A64" s="1"/>
      <c r="C64" s="358"/>
      <c r="D64" s="358"/>
      <c r="E64" s="147"/>
      <c r="F64" s="403"/>
      <c r="G64" s="404"/>
      <c r="H64" s="1"/>
      <c r="I64" s="17"/>
      <c r="J64" s="17"/>
      <c r="K64" s="31"/>
      <c r="L64" s="31"/>
      <c r="M64" s="31"/>
      <c r="U64" s="32"/>
      <c r="V64" s="32"/>
      <c r="W64" s="12"/>
      <c r="X64" s="12"/>
      <c r="Y64" s="12"/>
      <c r="Z64" s="12"/>
      <c r="AA64" s="12"/>
      <c r="AB64" s="12"/>
      <c r="AC64" s="12"/>
      <c r="AD64" s="12"/>
      <c r="AE64" s="12"/>
      <c r="AF64" s="12"/>
      <c r="AG64" s="12"/>
      <c r="AH64" s="12"/>
      <c r="AI64" s="12"/>
      <c r="AJ64" s="12"/>
      <c r="AK64" s="12"/>
      <c r="AL64" s="12"/>
      <c r="AM64" s="12"/>
      <c r="AN64" s="12"/>
      <c r="AO64" s="12"/>
      <c r="AP64" s="12"/>
      <c r="AQ64" s="12"/>
      <c r="AR64" s="12"/>
    </row>
    <row r="65" spans="1:44">
      <c r="A65" s="1"/>
      <c r="C65" s="358"/>
      <c r="D65" s="358"/>
      <c r="F65" s="403"/>
      <c r="G65" s="404"/>
      <c r="H65" s="1"/>
      <c r="I65" s="17"/>
      <c r="J65" s="17"/>
      <c r="K65" s="31"/>
      <c r="L65" s="31"/>
      <c r="M65" s="31"/>
      <c r="U65" s="32"/>
      <c r="V65" s="32"/>
      <c r="W65" s="12"/>
      <c r="X65" s="12"/>
      <c r="Y65" s="12"/>
      <c r="Z65" s="12"/>
      <c r="AA65" s="12"/>
      <c r="AB65" s="12"/>
      <c r="AC65" s="12"/>
      <c r="AD65" s="12"/>
      <c r="AE65" s="12"/>
      <c r="AF65" s="12"/>
      <c r="AG65" s="12"/>
      <c r="AH65" s="12"/>
      <c r="AI65" s="12"/>
      <c r="AJ65" s="12"/>
      <c r="AK65" s="12"/>
      <c r="AL65" s="12"/>
      <c r="AM65" s="12"/>
      <c r="AN65" s="12"/>
      <c r="AO65" s="12"/>
      <c r="AP65" s="12"/>
      <c r="AQ65" s="12"/>
      <c r="AR65" s="12"/>
    </row>
    <row r="66" spans="1:44">
      <c r="A66" s="1"/>
      <c r="C66" s="358"/>
      <c r="D66" s="358"/>
      <c r="F66" s="403"/>
      <c r="G66" s="404"/>
      <c r="H66" s="1"/>
      <c r="I66" s="17"/>
      <c r="J66" s="17"/>
      <c r="K66" s="31"/>
      <c r="L66" s="31"/>
      <c r="M66" s="31"/>
      <c r="U66" s="32"/>
      <c r="V66" s="32"/>
      <c r="W66" s="12"/>
      <c r="X66" s="12"/>
      <c r="Y66" s="12"/>
      <c r="Z66" s="12"/>
      <c r="AA66" s="12"/>
      <c r="AB66" s="12"/>
      <c r="AC66" s="12"/>
      <c r="AD66" s="12"/>
      <c r="AE66" s="12"/>
      <c r="AF66" s="12"/>
      <c r="AG66" s="12"/>
      <c r="AH66" s="12"/>
      <c r="AI66" s="12"/>
      <c r="AJ66" s="12"/>
      <c r="AK66" s="12"/>
      <c r="AL66" s="12"/>
      <c r="AM66" s="12"/>
      <c r="AN66" s="12"/>
      <c r="AO66" s="12"/>
      <c r="AP66" s="12"/>
      <c r="AQ66" s="12"/>
      <c r="AR66" s="12"/>
    </row>
    <row r="67" spans="1:44">
      <c r="A67" s="1"/>
      <c r="C67" s="358"/>
      <c r="D67" s="358"/>
      <c r="F67" s="403"/>
      <c r="G67" s="404"/>
      <c r="H67" s="1"/>
      <c r="I67" s="17"/>
      <c r="J67" s="17"/>
      <c r="K67" s="31"/>
      <c r="L67" s="31"/>
      <c r="M67" s="31"/>
      <c r="U67" s="32"/>
      <c r="V67" s="32"/>
      <c r="W67" s="12"/>
      <c r="X67" s="12"/>
      <c r="Y67" s="12"/>
      <c r="Z67" s="12"/>
      <c r="AA67" s="12"/>
      <c r="AB67" s="12"/>
      <c r="AC67" s="12"/>
      <c r="AD67" s="12"/>
      <c r="AE67" s="12"/>
      <c r="AF67" s="12"/>
      <c r="AG67" s="12"/>
      <c r="AH67" s="12"/>
      <c r="AI67" s="12"/>
      <c r="AJ67" s="12"/>
      <c r="AK67" s="12"/>
      <c r="AL67" s="12"/>
      <c r="AM67" s="12"/>
      <c r="AN67" s="12"/>
      <c r="AO67" s="12"/>
      <c r="AP67" s="12"/>
      <c r="AQ67" s="12"/>
      <c r="AR67" s="12"/>
    </row>
    <row r="68" spans="1:44">
      <c r="A68" s="1"/>
      <c r="B68" s="145"/>
      <c r="C68" s="405"/>
      <c r="D68" s="405"/>
      <c r="E68" s="145"/>
      <c r="F68" s="406"/>
      <c r="G68" s="406"/>
      <c r="H68" s="1"/>
      <c r="I68" s="17"/>
      <c r="J68" s="17"/>
      <c r="K68" s="31"/>
      <c r="L68" s="31"/>
      <c r="M68" s="31"/>
      <c r="U68" s="32"/>
      <c r="V68" s="32"/>
      <c r="W68" s="12"/>
      <c r="X68" s="12"/>
      <c r="Y68" s="12"/>
      <c r="Z68" s="12"/>
      <c r="AA68" s="12"/>
      <c r="AB68" s="12"/>
      <c r="AC68" s="12"/>
      <c r="AD68" s="12"/>
      <c r="AE68" s="12"/>
      <c r="AF68" s="12"/>
      <c r="AG68" s="12"/>
      <c r="AH68" s="12"/>
      <c r="AI68" s="12"/>
      <c r="AJ68" s="12"/>
      <c r="AK68" s="12"/>
      <c r="AL68" s="12"/>
      <c r="AM68" s="12"/>
      <c r="AN68" s="12"/>
      <c r="AO68" s="12"/>
      <c r="AP68" s="12"/>
      <c r="AQ68" s="12"/>
      <c r="AR68" s="12"/>
    </row>
    <row r="69" spans="1:44">
      <c r="A69" s="1"/>
      <c r="F69" s="404"/>
      <c r="G69" s="404"/>
      <c r="H69" s="1"/>
      <c r="I69" s="17"/>
      <c r="J69" s="17"/>
      <c r="K69" s="31"/>
      <c r="L69" s="31"/>
      <c r="M69" s="31"/>
      <c r="U69" s="32"/>
      <c r="V69" s="32"/>
      <c r="W69" s="12"/>
      <c r="X69" s="12"/>
      <c r="Y69" s="12"/>
      <c r="Z69" s="12"/>
      <c r="AA69" s="12"/>
      <c r="AB69" s="12"/>
      <c r="AC69" s="12"/>
      <c r="AD69" s="12"/>
      <c r="AE69" s="12"/>
      <c r="AF69" s="12"/>
      <c r="AG69" s="12"/>
      <c r="AH69" s="12"/>
      <c r="AI69" s="12"/>
      <c r="AJ69" s="12"/>
      <c r="AK69" s="12"/>
      <c r="AL69" s="12"/>
      <c r="AM69" s="12"/>
      <c r="AN69" s="12"/>
      <c r="AO69" s="12"/>
      <c r="AP69" s="12"/>
      <c r="AQ69" s="12"/>
      <c r="AR69" s="12"/>
    </row>
    <row r="70" spans="1:44">
      <c r="A70" s="1"/>
      <c r="F70" s="404"/>
      <c r="G70" s="404"/>
      <c r="H70" s="1"/>
      <c r="I70" s="17"/>
      <c r="J70" s="17"/>
      <c r="K70" s="31"/>
      <c r="L70" s="31"/>
      <c r="M70" s="31"/>
      <c r="U70" s="32"/>
      <c r="V70" s="32"/>
      <c r="W70" s="12"/>
      <c r="X70" s="12"/>
      <c r="Y70" s="12"/>
      <c r="Z70" s="12"/>
      <c r="AA70" s="12"/>
      <c r="AB70" s="12"/>
      <c r="AC70" s="12"/>
      <c r="AD70" s="12"/>
      <c r="AE70" s="12"/>
      <c r="AF70" s="12"/>
      <c r="AG70" s="12"/>
      <c r="AH70" s="12"/>
      <c r="AI70" s="12"/>
      <c r="AJ70" s="12"/>
      <c r="AK70" s="12"/>
      <c r="AL70" s="12"/>
      <c r="AM70" s="12"/>
      <c r="AN70" s="12"/>
      <c r="AO70" s="12"/>
      <c r="AP70" s="12"/>
      <c r="AQ70" s="12"/>
      <c r="AR70" s="12"/>
    </row>
    <row r="71" spans="1:44">
      <c r="A71" s="1"/>
      <c r="F71" s="404"/>
      <c r="G71" s="404"/>
      <c r="H71" s="1"/>
      <c r="I71" s="17"/>
      <c r="J71" s="17"/>
      <c r="K71" s="31"/>
      <c r="L71" s="31"/>
      <c r="M71" s="31"/>
      <c r="U71" s="32"/>
      <c r="V71" s="32"/>
      <c r="W71" s="12"/>
      <c r="X71" s="12"/>
      <c r="Y71" s="12"/>
      <c r="Z71" s="12"/>
      <c r="AA71" s="12"/>
      <c r="AB71" s="12"/>
      <c r="AC71" s="12"/>
      <c r="AD71" s="12"/>
      <c r="AE71" s="12"/>
      <c r="AF71" s="12"/>
      <c r="AG71" s="12"/>
      <c r="AH71" s="12"/>
      <c r="AI71" s="12"/>
      <c r="AJ71" s="12"/>
      <c r="AK71" s="12"/>
      <c r="AL71" s="12"/>
      <c r="AM71" s="12"/>
      <c r="AN71" s="12"/>
      <c r="AO71" s="12"/>
      <c r="AP71" s="12"/>
      <c r="AQ71" s="12"/>
      <c r="AR71" s="12"/>
    </row>
    <row r="72" spans="1:44">
      <c r="A72" s="1"/>
      <c r="F72" s="404"/>
      <c r="G72" s="404"/>
      <c r="H72" s="1"/>
      <c r="I72" s="17"/>
      <c r="J72" s="17"/>
      <c r="K72" s="31"/>
      <c r="L72" s="31"/>
      <c r="M72" s="31"/>
      <c r="U72" s="32"/>
      <c r="V72" s="32"/>
      <c r="W72" s="12"/>
      <c r="X72" s="12"/>
      <c r="Y72" s="12"/>
      <c r="Z72" s="12"/>
      <c r="AA72" s="12"/>
      <c r="AB72" s="12"/>
      <c r="AC72" s="12"/>
      <c r="AD72" s="12"/>
      <c r="AE72" s="12"/>
      <c r="AF72" s="12"/>
      <c r="AG72" s="12"/>
      <c r="AH72" s="12"/>
      <c r="AI72" s="12"/>
      <c r="AJ72" s="12"/>
      <c r="AK72" s="12"/>
      <c r="AL72" s="12"/>
      <c r="AM72" s="12"/>
      <c r="AN72" s="12"/>
      <c r="AO72" s="12"/>
      <c r="AP72" s="12"/>
      <c r="AQ72" s="12"/>
      <c r="AR72" s="12"/>
    </row>
    <row r="73" spans="1:44">
      <c r="A73" s="1"/>
      <c r="F73" s="404"/>
      <c r="G73" s="404"/>
      <c r="H73" s="1"/>
      <c r="I73" s="17"/>
      <c r="J73" s="17"/>
      <c r="K73" s="31"/>
      <c r="L73" s="31"/>
      <c r="M73" s="31"/>
      <c r="U73" s="32"/>
      <c r="V73" s="32"/>
      <c r="W73" s="12"/>
      <c r="X73" s="12"/>
      <c r="Y73" s="12"/>
      <c r="Z73" s="12"/>
      <c r="AA73" s="12"/>
      <c r="AB73" s="12"/>
      <c r="AC73" s="12"/>
      <c r="AD73" s="12"/>
      <c r="AE73" s="12"/>
      <c r="AF73" s="12"/>
      <c r="AG73" s="12"/>
      <c r="AH73" s="12"/>
      <c r="AI73" s="12"/>
      <c r="AJ73" s="12"/>
      <c r="AK73" s="12"/>
      <c r="AL73" s="12"/>
      <c r="AM73" s="12"/>
      <c r="AN73" s="12"/>
      <c r="AO73" s="12"/>
      <c r="AP73" s="12"/>
      <c r="AQ73" s="12"/>
      <c r="AR73" s="12"/>
    </row>
    <row r="74" spans="1:44">
      <c r="A74" s="1"/>
      <c r="F74" s="404"/>
      <c r="G74" s="404"/>
      <c r="H74" s="1"/>
      <c r="I74" s="17"/>
      <c r="J74" s="17"/>
      <c r="K74" s="31"/>
      <c r="L74" s="31"/>
      <c r="M74" s="31"/>
      <c r="U74" s="32"/>
      <c r="V74" s="32"/>
      <c r="W74" s="12"/>
      <c r="X74" s="12"/>
      <c r="Y74" s="12"/>
      <c r="Z74" s="12"/>
      <c r="AA74" s="12"/>
      <c r="AB74" s="12"/>
      <c r="AC74" s="12"/>
      <c r="AD74" s="12"/>
      <c r="AE74" s="12"/>
      <c r="AF74" s="12"/>
      <c r="AG74" s="12"/>
      <c r="AH74" s="12"/>
      <c r="AI74" s="12"/>
      <c r="AJ74" s="12"/>
      <c r="AK74" s="12"/>
      <c r="AL74" s="12"/>
      <c r="AM74" s="12"/>
      <c r="AN74" s="12"/>
      <c r="AO74" s="12"/>
      <c r="AP74" s="12"/>
      <c r="AQ74" s="12"/>
      <c r="AR74" s="12"/>
    </row>
    <row r="75" spans="1:44">
      <c r="A75" s="1"/>
      <c r="F75" s="404"/>
      <c r="G75" s="404"/>
      <c r="H75" s="1"/>
      <c r="I75" s="17"/>
      <c r="J75" s="17"/>
      <c r="K75" s="31"/>
      <c r="L75" s="31"/>
      <c r="M75" s="31"/>
      <c r="U75" s="32"/>
      <c r="V75" s="32"/>
      <c r="W75" s="12"/>
      <c r="X75" s="12"/>
      <c r="Y75" s="12"/>
      <c r="Z75" s="12"/>
      <c r="AA75" s="12"/>
      <c r="AB75" s="12"/>
      <c r="AC75" s="12"/>
      <c r="AD75" s="12"/>
      <c r="AE75" s="12"/>
      <c r="AF75" s="12"/>
      <c r="AG75" s="12"/>
      <c r="AH75" s="12"/>
      <c r="AI75" s="12"/>
      <c r="AJ75" s="12"/>
      <c r="AK75" s="12"/>
      <c r="AL75" s="12"/>
      <c r="AM75" s="12"/>
      <c r="AN75" s="12"/>
      <c r="AO75" s="12"/>
      <c r="AP75" s="12"/>
      <c r="AQ75" s="12"/>
      <c r="AR75" s="12"/>
    </row>
    <row r="76" spans="1:44">
      <c r="A76" s="1"/>
      <c r="F76" s="404"/>
      <c r="G76" s="404"/>
      <c r="H76" s="1"/>
      <c r="I76" s="17"/>
      <c r="J76" s="17"/>
      <c r="K76" s="31"/>
      <c r="L76" s="31"/>
      <c r="M76" s="31"/>
      <c r="U76" s="32"/>
      <c r="V76" s="32"/>
      <c r="W76" s="12"/>
      <c r="X76" s="12"/>
      <c r="Y76" s="12"/>
      <c r="Z76" s="12"/>
      <c r="AA76" s="12"/>
      <c r="AB76" s="12"/>
      <c r="AC76" s="12"/>
      <c r="AD76" s="12"/>
      <c r="AE76" s="12"/>
      <c r="AF76" s="12"/>
      <c r="AG76" s="12"/>
      <c r="AH76" s="12"/>
      <c r="AI76" s="12"/>
      <c r="AJ76" s="12"/>
      <c r="AK76" s="12"/>
      <c r="AL76" s="12"/>
      <c r="AM76" s="12"/>
      <c r="AN76" s="12"/>
      <c r="AO76" s="12"/>
      <c r="AP76" s="12"/>
      <c r="AQ76" s="12"/>
      <c r="AR76" s="12"/>
    </row>
    <row r="77" spans="1:44">
      <c r="A77" s="1"/>
      <c r="F77" s="404"/>
      <c r="G77" s="404"/>
      <c r="H77" s="1"/>
      <c r="I77" s="17"/>
      <c r="J77" s="17"/>
      <c r="K77" s="31"/>
      <c r="L77" s="31"/>
      <c r="M77" s="31"/>
      <c r="U77" s="32"/>
      <c r="V77" s="32"/>
      <c r="W77" s="12"/>
      <c r="X77" s="12"/>
      <c r="Y77" s="12"/>
      <c r="Z77" s="12"/>
      <c r="AA77" s="12"/>
      <c r="AB77" s="12"/>
      <c r="AC77" s="12"/>
      <c r="AD77" s="12"/>
      <c r="AE77" s="12"/>
      <c r="AF77" s="12"/>
      <c r="AG77" s="12"/>
      <c r="AH77" s="12"/>
      <c r="AI77" s="12"/>
      <c r="AJ77" s="12"/>
      <c r="AK77" s="12"/>
      <c r="AL77" s="12"/>
      <c r="AM77" s="12"/>
      <c r="AN77" s="12"/>
      <c r="AO77" s="12"/>
      <c r="AP77" s="12"/>
      <c r="AQ77" s="12"/>
      <c r="AR77" s="12"/>
    </row>
    <row r="78" spans="1:44">
      <c r="A78" s="1"/>
      <c r="F78" s="404"/>
      <c r="G78" s="404"/>
      <c r="H78" s="1"/>
      <c r="I78" s="17"/>
      <c r="J78" s="17"/>
      <c r="K78" s="31"/>
      <c r="L78" s="31"/>
      <c r="M78" s="31"/>
      <c r="U78" s="32"/>
      <c r="V78" s="32"/>
      <c r="W78" s="12"/>
      <c r="X78" s="12"/>
      <c r="Y78" s="12"/>
      <c r="Z78" s="12"/>
      <c r="AA78" s="12"/>
      <c r="AB78" s="12"/>
      <c r="AC78" s="12"/>
      <c r="AD78" s="12"/>
      <c r="AE78" s="12"/>
      <c r="AF78" s="12"/>
      <c r="AG78" s="12"/>
      <c r="AH78" s="12"/>
      <c r="AI78" s="12"/>
      <c r="AJ78" s="12"/>
      <c r="AK78" s="12"/>
      <c r="AL78" s="12"/>
      <c r="AM78" s="12"/>
      <c r="AN78" s="12"/>
      <c r="AO78" s="12"/>
      <c r="AP78" s="12"/>
      <c r="AQ78" s="12"/>
      <c r="AR78" s="12"/>
    </row>
    <row r="79" spans="1:44">
      <c r="A79" s="1"/>
      <c r="F79" s="404"/>
      <c r="G79" s="404"/>
      <c r="H79" s="1"/>
      <c r="I79" s="17"/>
      <c r="J79" s="17"/>
      <c r="K79" s="31"/>
      <c r="L79" s="31"/>
      <c r="M79" s="31"/>
      <c r="U79" s="32"/>
      <c r="V79" s="32"/>
      <c r="W79" s="12"/>
      <c r="X79" s="12"/>
      <c r="Y79" s="12"/>
      <c r="Z79" s="12"/>
      <c r="AA79" s="12"/>
      <c r="AB79" s="12"/>
      <c r="AC79" s="12"/>
      <c r="AD79" s="12"/>
      <c r="AE79" s="12"/>
      <c r="AF79" s="12"/>
      <c r="AG79" s="12"/>
      <c r="AH79" s="12"/>
      <c r="AI79" s="12"/>
      <c r="AJ79" s="12"/>
      <c r="AK79" s="12"/>
      <c r="AL79" s="12"/>
      <c r="AM79" s="12"/>
      <c r="AN79" s="12"/>
      <c r="AO79" s="12"/>
      <c r="AP79" s="12"/>
      <c r="AQ79" s="12"/>
      <c r="AR79" s="12"/>
    </row>
    <row r="80" spans="1:44">
      <c r="A80" s="1"/>
      <c r="F80" s="404"/>
      <c r="G80" s="404"/>
      <c r="H80" s="1"/>
      <c r="I80" s="17"/>
      <c r="J80" s="17"/>
      <c r="K80" s="31"/>
      <c r="L80" s="31"/>
      <c r="M80" s="31"/>
      <c r="U80" s="32"/>
      <c r="V80" s="32"/>
      <c r="W80" s="12"/>
      <c r="X80" s="12"/>
      <c r="Y80" s="12"/>
      <c r="Z80" s="12"/>
      <c r="AA80" s="12"/>
      <c r="AB80" s="12"/>
      <c r="AC80" s="12"/>
      <c r="AD80" s="12"/>
      <c r="AE80" s="12"/>
      <c r="AF80" s="12"/>
      <c r="AG80" s="12"/>
      <c r="AH80" s="12"/>
      <c r="AI80" s="12"/>
      <c r="AJ80" s="12"/>
      <c r="AK80" s="12"/>
      <c r="AL80" s="12"/>
      <c r="AM80" s="12"/>
      <c r="AN80" s="12"/>
      <c r="AO80" s="12"/>
      <c r="AP80" s="12"/>
      <c r="AQ80" s="12"/>
      <c r="AR80" s="12"/>
    </row>
    <row r="81" spans="1:44">
      <c r="A81" s="1"/>
      <c r="F81" s="404"/>
      <c r="G81" s="404"/>
      <c r="H81" s="1"/>
      <c r="I81" s="17"/>
      <c r="J81" s="17"/>
      <c r="K81" s="31"/>
      <c r="L81" s="31"/>
      <c r="M81" s="31"/>
      <c r="U81" s="32"/>
      <c r="V81" s="32"/>
      <c r="W81" s="12"/>
      <c r="X81" s="12"/>
      <c r="Y81" s="12"/>
      <c r="Z81" s="12"/>
      <c r="AA81" s="12"/>
      <c r="AB81" s="12"/>
      <c r="AC81" s="12"/>
      <c r="AD81" s="12"/>
      <c r="AE81" s="12"/>
      <c r="AF81" s="12"/>
      <c r="AG81" s="12"/>
      <c r="AH81" s="12"/>
      <c r="AI81" s="12"/>
      <c r="AJ81" s="12"/>
      <c r="AK81" s="12"/>
      <c r="AL81" s="12"/>
      <c r="AM81" s="12"/>
      <c r="AN81" s="12"/>
      <c r="AO81" s="12"/>
      <c r="AP81" s="12"/>
      <c r="AQ81" s="12"/>
      <c r="AR81" s="12"/>
    </row>
    <row r="82" spans="1:44">
      <c r="A82" s="1"/>
      <c r="F82" s="404"/>
      <c r="G82" s="404"/>
      <c r="H82" s="1"/>
      <c r="I82" s="17"/>
      <c r="J82" s="17"/>
      <c r="K82" s="31"/>
      <c r="L82" s="31"/>
      <c r="M82" s="31"/>
      <c r="U82" s="32"/>
      <c r="V82" s="32"/>
      <c r="W82" s="12"/>
      <c r="X82" s="12"/>
      <c r="Y82" s="12"/>
      <c r="Z82" s="12"/>
      <c r="AA82" s="12"/>
      <c r="AB82" s="12"/>
      <c r="AC82" s="12"/>
      <c r="AD82" s="12"/>
      <c r="AE82" s="12"/>
      <c r="AF82" s="12"/>
      <c r="AG82" s="12"/>
      <c r="AH82" s="12"/>
      <c r="AI82" s="12"/>
      <c r="AJ82" s="12"/>
      <c r="AK82" s="12"/>
      <c r="AL82" s="12"/>
      <c r="AM82" s="12"/>
      <c r="AN82" s="12"/>
      <c r="AO82" s="12"/>
      <c r="AP82" s="12"/>
      <c r="AQ82" s="12"/>
      <c r="AR82" s="12"/>
    </row>
    <row r="83" spans="1:44">
      <c r="A83" s="1"/>
      <c r="F83" s="404"/>
      <c r="G83" s="404"/>
      <c r="H83" s="1"/>
      <c r="I83" s="17"/>
      <c r="J83" s="17"/>
      <c r="K83" s="31"/>
      <c r="L83" s="31"/>
      <c r="M83" s="31"/>
      <c r="U83" s="32"/>
      <c r="V83" s="32"/>
      <c r="W83" s="12"/>
      <c r="X83" s="12"/>
      <c r="Y83" s="12"/>
      <c r="Z83" s="12"/>
      <c r="AA83" s="12"/>
      <c r="AB83" s="12"/>
      <c r="AC83" s="12"/>
      <c r="AD83" s="12"/>
      <c r="AE83" s="12"/>
      <c r="AF83" s="12"/>
      <c r="AG83" s="12"/>
      <c r="AH83" s="12"/>
      <c r="AI83" s="12"/>
      <c r="AJ83" s="12"/>
      <c r="AK83" s="12"/>
      <c r="AL83" s="12"/>
      <c r="AM83" s="12"/>
      <c r="AN83" s="12"/>
      <c r="AO83" s="12"/>
      <c r="AP83" s="12"/>
      <c r="AQ83" s="12"/>
      <c r="AR83" s="12"/>
    </row>
    <row r="84" spans="1:44">
      <c r="A84" s="1"/>
      <c r="F84" s="404"/>
      <c r="G84" s="404"/>
      <c r="H84" s="1"/>
      <c r="I84" s="17"/>
      <c r="J84" s="17"/>
      <c r="K84" s="31"/>
      <c r="L84" s="31"/>
      <c r="M84" s="31"/>
      <c r="U84" s="32"/>
      <c r="V84" s="32"/>
      <c r="W84" s="12"/>
      <c r="X84" s="12"/>
      <c r="Y84" s="12"/>
      <c r="Z84" s="12"/>
      <c r="AA84" s="12"/>
      <c r="AB84" s="12"/>
      <c r="AC84" s="12"/>
      <c r="AD84" s="12"/>
      <c r="AE84" s="12"/>
      <c r="AF84" s="12"/>
      <c r="AG84" s="12"/>
      <c r="AH84" s="12"/>
      <c r="AI84" s="12"/>
      <c r="AJ84" s="12"/>
      <c r="AK84" s="12"/>
      <c r="AL84" s="12"/>
      <c r="AM84" s="12"/>
      <c r="AN84" s="12"/>
      <c r="AO84" s="12"/>
      <c r="AP84" s="12"/>
      <c r="AQ84" s="12"/>
      <c r="AR84" s="12"/>
    </row>
    <row r="85" spans="1:44">
      <c r="A85" s="1"/>
      <c r="F85" s="404"/>
      <c r="G85" s="404"/>
      <c r="H85" s="1"/>
      <c r="I85" s="17"/>
      <c r="J85" s="17"/>
      <c r="K85" s="31"/>
      <c r="L85" s="31"/>
      <c r="M85" s="31"/>
      <c r="U85" s="32"/>
      <c r="V85" s="32"/>
      <c r="W85" s="12"/>
      <c r="X85" s="12"/>
      <c r="Y85" s="12"/>
      <c r="Z85" s="12"/>
      <c r="AA85" s="12"/>
      <c r="AB85" s="12"/>
      <c r="AC85" s="12"/>
      <c r="AD85" s="12"/>
      <c r="AE85" s="12"/>
      <c r="AF85" s="12"/>
      <c r="AG85" s="12"/>
      <c r="AH85" s="12"/>
      <c r="AI85" s="12"/>
      <c r="AJ85" s="12"/>
      <c r="AK85" s="12"/>
      <c r="AL85" s="12"/>
      <c r="AM85" s="12"/>
      <c r="AN85" s="12"/>
      <c r="AO85" s="12"/>
      <c r="AP85" s="12"/>
      <c r="AQ85" s="12"/>
      <c r="AR85" s="12"/>
    </row>
    <row r="86" spans="1:44">
      <c r="A86" s="1"/>
      <c r="F86" s="404"/>
      <c r="G86" s="404"/>
      <c r="H86" s="1"/>
      <c r="I86" s="17"/>
      <c r="J86" s="17"/>
      <c r="K86" s="31"/>
      <c r="L86" s="31"/>
      <c r="M86" s="31"/>
      <c r="U86" s="32"/>
      <c r="V86" s="32"/>
      <c r="W86" s="12"/>
      <c r="X86" s="12"/>
      <c r="Y86" s="12"/>
      <c r="Z86" s="12"/>
      <c r="AA86" s="12"/>
      <c r="AB86" s="12"/>
      <c r="AC86" s="12"/>
      <c r="AD86" s="12"/>
      <c r="AE86" s="12"/>
      <c r="AF86" s="12"/>
      <c r="AG86" s="12"/>
      <c r="AH86" s="12"/>
      <c r="AI86" s="12"/>
      <c r="AJ86" s="12"/>
      <c r="AK86" s="12"/>
      <c r="AL86" s="12"/>
      <c r="AM86" s="12"/>
      <c r="AN86" s="12"/>
      <c r="AO86" s="12"/>
      <c r="AP86" s="12"/>
      <c r="AQ86" s="12"/>
      <c r="AR86" s="12"/>
    </row>
    <row r="87" spans="1:44">
      <c r="A87" s="1"/>
      <c r="F87" s="404"/>
      <c r="G87" s="404"/>
      <c r="H87" s="1"/>
      <c r="I87" s="17"/>
      <c r="J87" s="17"/>
      <c r="K87" s="31"/>
      <c r="L87" s="31"/>
      <c r="M87" s="31"/>
      <c r="U87" s="32"/>
      <c r="V87" s="32"/>
      <c r="W87" s="12"/>
      <c r="X87" s="12"/>
      <c r="Y87" s="12"/>
      <c r="Z87" s="12"/>
      <c r="AA87" s="12"/>
      <c r="AB87" s="12"/>
      <c r="AC87" s="12"/>
      <c r="AD87" s="12"/>
      <c r="AE87" s="12"/>
      <c r="AF87" s="12"/>
      <c r="AG87" s="12"/>
      <c r="AH87" s="12"/>
      <c r="AI87" s="12"/>
      <c r="AJ87" s="12"/>
      <c r="AK87" s="12"/>
      <c r="AL87" s="12"/>
      <c r="AM87" s="12"/>
      <c r="AN87" s="12"/>
      <c r="AO87" s="12"/>
      <c r="AP87" s="12"/>
      <c r="AQ87" s="12"/>
      <c r="AR87" s="12"/>
    </row>
    <row r="88" spans="1:44">
      <c r="A88" s="1"/>
      <c r="F88" s="404"/>
      <c r="G88" s="404"/>
      <c r="H88" s="1"/>
      <c r="I88" s="17"/>
      <c r="J88" s="17"/>
      <c r="K88" s="31"/>
      <c r="L88" s="31"/>
      <c r="M88" s="31"/>
      <c r="U88" s="32"/>
      <c r="V88" s="32"/>
      <c r="W88" s="12"/>
      <c r="X88" s="12"/>
      <c r="Y88" s="12"/>
      <c r="Z88" s="12"/>
      <c r="AA88" s="12"/>
      <c r="AB88" s="12"/>
      <c r="AC88" s="12"/>
      <c r="AD88" s="12"/>
      <c r="AE88" s="12"/>
      <c r="AF88" s="12"/>
      <c r="AG88" s="12"/>
      <c r="AH88" s="12"/>
      <c r="AI88" s="12"/>
      <c r="AJ88" s="12"/>
      <c r="AK88" s="12"/>
      <c r="AL88" s="12"/>
      <c r="AM88" s="12"/>
      <c r="AN88" s="12"/>
      <c r="AO88" s="12"/>
      <c r="AP88" s="12"/>
      <c r="AQ88" s="12"/>
      <c r="AR88" s="12"/>
    </row>
    <row r="89" spans="1:44">
      <c r="A89" s="1"/>
      <c r="F89" s="404"/>
      <c r="G89" s="404"/>
      <c r="H89" s="1"/>
      <c r="I89" s="17"/>
      <c r="J89" s="17"/>
      <c r="K89" s="31"/>
      <c r="L89" s="31"/>
      <c r="M89" s="31"/>
      <c r="U89" s="32"/>
      <c r="V89" s="32"/>
      <c r="W89" s="12"/>
      <c r="X89" s="12"/>
      <c r="Y89" s="12"/>
      <c r="Z89" s="12"/>
      <c r="AA89" s="12"/>
      <c r="AB89" s="12"/>
      <c r="AC89" s="12"/>
      <c r="AD89" s="12"/>
      <c r="AE89" s="12"/>
      <c r="AF89" s="12"/>
      <c r="AG89" s="12"/>
      <c r="AH89" s="12"/>
      <c r="AI89" s="12"/>
      <c r="AJ89" s="12"/>
      <c r="AK89" s="12"/>
      <c r="AL89" s="12"/>
      <c r="AM89" s="12"/>
      <c r="AN89" s="12"/>
      <c r="AO89" s="12"/>
      <c r="AP89" s="12"/>
      <c r="AQ89" s="12"/>
      <c r="AR89" s="12"/>
    </row>
    <row r="90" spans="1:44">
      <c r="A90" s="1"/>
      <c r="F90" s="404"/>
      <c r="G90" s="404"/>
      <c r="H90" s="1"/>
      <c r="I90" s="17"/>
      <c r="J90" s="17"/>
      <c r="K90" s="31"/>
      <c r="L90" s="31"/>
      <c r="M90" s="31"/>
      <c r="U90" s="32"/>
      <c r="V90" s="32"/>
      <c r="W90" s="12"/>
      <c r="X90" s="12"/>
      <c r="Y90" s="12"/>
      <c r="Z90" s="12"/>
      <c r="AA90" s="12"/>
      <c r="AB90" s="12"/>
      <c r="AC90" s="12"/>
      <c r="AD90" s="12"/>
      <c r="AE90" s="12"/>
      <c r="AF90" s="12"/>
      <c r="AG90" s="12"/>
      <c r="AH90" s="12"/>
      <c r="AI90" s="12"/>
      <c r="AJ90" s="12"/>
      <c r="AK90" s="12"/>
      <c r="AL90" s="12"/>
      <c r="AM90" s="12"/>
      <c r="AN90" s="12"/>
      <c r="AO90" s="12"/>
      <c r="AP90" s="12"/>
      <c r="AQ90" s="12"/>
      <c r="AR90" s="12"/>
    </row>
    <row r="91" spans="1:44">
      <c r="A91" s="1"/>
      <c r="F91" s="404"/>
      <c r="G91" s="404"/>
      <c r="H91" s="1"/>
      <c r="I91" s="17"/>
      <c r="J91" s="17"/>
      <c r="K91" s="31"/>
      <c r="L91" s="31"/>
      <c r="M91" s="31"/>
      <c r="U91" s="32"/>
      <c r="V91" s="32"/>
      <c r="W91" s="12"/>
      <c r="X91" s="12"/>
      <c r="Y91" s="12"/>
      <c r="Z91" s="12"/>
      <c r="AA91" s="12"/>
      <c r="AB91" s="12"/>
      <c r="AC91" s="12"/>
      <c r="AD91" s="12"/>
      <c r="AE91" s="12"/>
      <c r="AF91" s="12"/>
      <c r="AG91" s="12"/>
      <c r="AH91" s="12"/>
      <c r="AI91" s="12"/>
      <c r="AJ91" s="12"/>
      <c r="AK91" s="12"/>
      <c r="AL91" s="12"/>
      <c r="AM91" s="12"/>
      <c r="AN91" s="12"/>
      <c r="AO91" s="12"/>
      <c r="AP91" s="12"/>
      <c r="AQ91" s="12"/>
      <c r="AR91" s="12"/>
    </row>
    <row r="92" spans="1:44">
      <c r="A92" s="1"/>
      <c r="F92" s="404"/>
      <c r="G92" s="404"/>
      <c r="H92" s="1"/>
      <c r="I92" s="17"/>
      <c r="J92" s="17"/>
      <c r="K92" s="31"/>
      <c r="L92" s="31"/>
      <c r="M92" s="31"/>
      <c r="U92" s="32"/>
      <c r="V92" s="32"/>
      <c r="W92" s="12"/>
      <c r="X92" s="12"/>
      <c r="Y92" s="12"/>
      <c r="Z92" s="12"/>
      <c r="AA92" s="12"/>
      <c r="AB92" s="12"/>
      <c r="AC92" s="12"/>
      <c r="AD92" s="12"/>
      <c r="AE92" s="12"/>
      <c r="AF92" s="12"/>
      <c r="AG92" s="12"/>
      <c r="AH92" s="12"/>
      <c r="AI92" s="12"/>
      <c r="AJ92" s="12"/>
      <c r="AK92" s="12"/>
      <c r="AL92" s="12"/>
      <c r="AM92" s="12"/>
      <c r="AN92" s="12"/>
      <c r="AO92" s="12"/>
      <c r="AP92" s="12"/>
      <c r="AQ92" s="12"/>
      <c r="AR92" s="12"/>
    </row>
    <row r="93" spans="1:44">
      <c r="A93" s="1"/>
      <c r="F93" s="404"/>
      <c r="G93" s="404"/>
      <c r="H93" s="1"/>
      <c r="I93" s="17"/>
      <c r="J93" s="17"/>
      <c r="K93" s="31"/>
      <c r="L93" s="31"/>
      <c r="M93" s="31"/>
      <c r="U93" s="32"/>
      <c r="V93" s="32"/>
      <c r="W93" s="12"/>
      <c r="X93" s="12"/>
      <c r="Y93" s="12"/>
      <c r="Z93" s="12"/>
      <c r="AA93" s="12"/>
      <c r="AB93" s="12"/>
      <c r="AC93" s="12"/>
      <c r="AD93" s="12"/>
      <c r="AE93" s="12"/>
      <c r="AF93" s="12"/>
      <c r="AG93" s="12"/>
      <c r="AH93" s="12"/>
      <c r="AI93" s="12"/>
      <c r="AJ93" s="12"/>
      <c r="AK93" s="12"/>
      <c r="AL93" s="12"/>
      <c r="AM93" s="12"/>
      <c r="AN93" s="12"/>
      <c r="AO93" s="12"/>
      <c r="AP93" s="12"/>
      <c r="AQ93" s="12"/>
      <c r="AR93" s="12"/>
    </row>
    <row r="94" spans="1:44">
      <c r="A94" s="1"/>
      <c r="F94" s="404"/>
      <c r="G94" s="404"/>
      <c r="H94" s="1"/>
      <c r="I94" s="17"/>
      <c r="J94" s="17"/>
      <c r="K94" s="31"/>
      <c r="L94" s="31"/>
      <c r="M94" s="31"/>
      <c r="U94" s="32"/>
      <c r="V94" s="32"/>
      <c r="W94" s="12"/>
      <c r="X94" s="12"/>
      <c r="Y94" s="12"/>
      <c r="Z94" s="12"/>
      <c r="AA94" s="12"/>
      <c r="AB94" s="12"/>
      <c r="AC94" s="12"/>
      <c r="AD94" s="12"/>
      <c r="AE94" s="12"/>
      <c r="AF94" s="12"/>
      <c r="AG94" s="12"/>
      <c r="AH94" s="12"/>
      <c r="AI94" s="12"/>
      <c r="AJ94" s="12"/>
      <c r="AK94" s="12"/>
      <c r="AL94" s="12"/>
      <c r="AM94" s="12"/>
      <c r="AN94" s="12"/>
      <c r="AO94" s="12"/>
      <c r="AP94" s="12"/>
      <c r="AQ94" s="12"/>
      <c r="AR94" s="12"/>
    </row>
    <row r="95" spans="1:44">
      <c r="A95" s="1"/>
      <c r="F95" s="404"/>
      <c r="G95" s="404"/>
      <c r="H95" s="1"/>
      <c r="I95" s="17"/>
      <c r="J95" s="17"/>
      <c r="K95" s="31"/>
      <c r="L95" s="31"/>
      <c r="M95" s="31"/>
      <c r="U95" s="32"/>
      <c r="V95" s="32"/>
      <c r="W95" s="12"/>
      <c r="X95" s="12"/>
      <c r="Y95" s="12"/>
      <c r="Z95" s="12"/>
      <c r="AA95" s="12"/>
      <c r="AB95" s="12"/>
      <c r="AC95" s="12"/>
      <c r="AD95" s="12"/>
      <c r="AE95" s="12"/>
      <c r="AF95" s="12"/>
      <c r="AG95" s="12"/>
      <c r="AH95" s="12"/>
      <c r="AI95" s="12"/>
      <c r="AJ95" s="12"/>
      <c r="AK95" s="12"/>
      <c r="AL95" s="12"/>
      <c r="AM95" s="12"/>
      <c r="AN95" s="12"/>
      <c r="AO95" s="12"/>
      <c r="AP95" s="12"/>
      <c r="AQ95" s="12"/>
      <c r="AR95" s="12"/>
    </row>
    <row r="96" spans="1:44">
      <c r="A96" s="1"/>
      <c r="F96" s="404"/>
      <c r="G96" s="404"/>
      <c r="H96" s="1"/>
      <c r="I96" s="17"/>
      <c r="J96" s="17"/>
      <c r="K96" s="31"/>
      <c r="L96" s="31"/>
      <c r="M96" s="31"/>
      <c r="U96" s="32"/>
      <c r="V96" s="32"/>
      <c r="W96" s="12"/>
      <c r="X96" s="12"/>
      <c r="Y96" s="12"/>
      <c r="Z96" s="12"/>
      <c r="AA96" s="12"/>
      <c r="AB96" s="12"/>
      <c r="AC96" s="12"/>
      <c r="AD96" s="12"/>
      <c r="AE96" s="12"/>
      <c r="AF96" s="12"/>
      <c r="AG96" s="12"/>
      <c r="AH96" s="12"/>
      <c r="AI96" s="12"/>
      <c r="AJ96" s="12"/>
      <c r="AK96" s="12"/>
      <c r="AL96" s="12"/>
      <c r="AM96" s="12"/>
      <c r="AN96" s="12"/>
      <c r="AO96" s="12"/>
      <c r="AP96" s="12"/>
      <c r="AQ96" s="12"/>
      <c r="AR96" s="12"/>
    </row>
    <row r="97" spans="1:44">
      <c r="A97" s="1"/>
      <c r="F97" s="404"/>
      <c r="G97" s="404"/>
      <c r="H97" s="1"/>
      <c r="I97" s="17"/>
      <c r="J97" s="17"/>
      <c r="K97" s="31"/>
      <c r="L97" s="31"/>
      <c r="M97" s="31"/>
      <c r="U97" s="32"/>
      <c r="V97" s="32"/>
      <c r="W97" s="12"/>
      <c r="X97" s="12"/>
      <c r="Y97" s="12"/>
      <c r="Z97" s="12"/>
      <c r="AA97" s="12"/>
      <c r="AB97" s="12"/>
      <c r="AC97" s="12"/>
      <c r="AD97" s="12"/>
      <c r="AE97" s="12"/>
      <c r="AF97" s="12"/>
      <c r="AG97" s="12"/>
      <c r="AH97" s="12"/>
      <c r="AI97" s="12"/>
      <c r="AJ97" s="12"/>
      <c r="AK97" s="12"/>
      <c r="AL97" s="12"/>
      <c r="AM97" s="12"/>
      <c r="AN97" s="12"/>
      <c r="AO97" s="12"/>
      <c r="AP97" s="12"/>
      <c r="AQ97" s="12"/>
      <c r="AR97" s="12"/>
    </row>
    <row r="98" spans="1:44">
      <c r="A98" s="1"/>
      <c r="F98" s="404"/>
      <c r="G98" s="404"/>
      <c r="H98" s="1"/>
      <c r="I98" s="17"/>
      <c r="J98" s="17"/>
      <c r="K98" s="31"/>
      <c r="L98" s="31"/>
      <c r="M98" s="31"/>
      <c r="U98" s="32"/>
      <c r="V98" s="32"/>
      <c r="W98" s="12"/>
      <c r="X98" s="12"/>
      <c r="Y98" s="12"/>
      <c r="Z98" s="12"/>
      <c r="AA98" s="12"/>
      <c r="AB98" s="12"/>
      <c r="AC98" s="12"/>
      <c r="AD98" s="12"/>
      <c r="AE98" s="12"/>
      <c r="AF98" s="12"/>
      <c r="AG98" s="12"/>
      <c r="AH98" s="12"/>
      <c r="AI98" s="12"/>
      <c r="AJ98" s="12"/>
      <c r="AK98" s="12"/>
      <c r="AL98" s="12"/>
      <c r="AM98" s="12"/>
      <c r="AN98" s="12"/>
      <c r="AO98" s="12"/>
      <c r="AP98" s="12"/>
      <c r="AQ98" s="12"/>
      <c r="AR98" s="12"/>
    </row>
    <row r="99" spans="1:44">
      <c r="A99" s="1"/>
      <c r="F99" s="404"/>
      <c r="G99" s="404"/>
      <c r="H99" s="1"/>
      <c r="I99" s="17"/>
      <c r="J99" s="17"/>
      <c r="K99" s="31"/>
      <c r="L99" s="31"/>
      <c r="M99" s="31"/>
      <c r="U99" s="32"/>
      <c r="V99" s="32"/>
      <c r="W99" s="12"/>
      <c r="X99" s="12"/>
      <c r="Y99" s="12"/>
      <c r="Z99" s="12"/>
      <c r="AA99" s="12"/>
      <c r="AB99" s="12"/>
      <c r="AC99" s="12"/>
      <c r="AD99" s="12"/>
      <c r="AE99" s="12"/>
      <c r="AF99" s="12"/>
      <c r="AG99" s="12"/>
      <c r="AH99" s="12"/>
      <c r="AI99" s="12"/>
      <c r="AJ99" s="12"/>
      <c r="AK99" s="12"/>
      <c r="AL99" s="12"/>
      <c r="AM99" s="12"/>
      <c r="AN99" s="12"/>
      <c r="AO99" s="12"/>
      <c r="AP99" s="12"/>
      <c r="AQ99" s="12"/>
      <c r="AR99" s="12"/>
    </row>
    <row r="100" spans="1:44">
      <c r="A100" s="1"/>
      <c r="F100" s="404"/>
      <c r="G100" s="404"/>
      <c r="H100" s="1"/>
      <c r="I100" s="17"/>
      <c r="J100" s="17"/>
      <c r="K100" s="31"/>
      <c r="L100" s="31"/>
      <c r="M100" s="31"/>
      <c r="U100" s="32"/>
      <c r="V100" s="3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row>
    <row r="101" spans="1:44">
      <c r="A101" s="1"/>
      <c r="F101" s="404"/>
      <c r="G101" s="404"/>
      <c r="H101" s="1"/>
      <c r="I101" s="17"/>
      <c r="J101" s="17"/>
      <c r="K101" s="31"/>
      <c r="L101" s="31"/>
      <c r="M101" s="31"/>
      <c r="U101" s="32"/>
      <c r="V101" s="3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row>
    <row r="102" spans="1:44">
      <c r="A102" s="1"/>
      <c r="F102" s="404"/>
      <c r="G102" s="404"/>
      <c r="H102" s="1"/>
      <c r="I102" s="17"/>
      <c r="J102" s="17"/>
      <c r="K102" s="31"/>
      <c r="L102" s="31"/>
      <c r="M102" s="31"/>
      <c r="U102" s="32"/>
      <c r="V102" s="3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row>
    <row r="103" spans="1:44">
      <c r="A103" s="1"/>
      <c r="F103" s="404"/>
      <c r="G103" s="404"/>
      <c r="H103" s="1"/>
      <c r="I103" s="17"/>
      <c r="J103" s="17"/>
      <c r="K103" s="31"/>
      <c r="L103" s="31"/>
      <c r="M103" s="31"/>
      <c r="U103" s="32"/>
      <c r="V103" s="3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row>
    <row r="104" spans="1:44">
      <c r="A104" s="1"/>
      <c r="F104" s="404"/>
      <c r="G104" s="404"/>
      <c r="H104" s="1"/>
      <c r="I104" s="17"/>
      <c r="J104" s="17"/>
      <c r="K104" s="31"/>
      <c r="L104" s="31"/>
      <c r="M104" s="31"/>
      <c r="U104" s="32"/>
      <c r="V104" s="3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row>
    <row r="105" spans="1:44">
      <c r="A105" s="1"/>
      <c r="F105" s="404"/>
      <c r="G105" s="404"/>
      <c r="H105" s="1"/>
      <c r="I105" s="17"/>
      <c r="J105" s="17"/>
      <c r="K105" s="31"/>
      <c r="L105" s="31"/>
      <c r="M105" s="31"/>
      <c r="U105" s="32"/>
      <c r="V105" s="3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row>
    <row r="106" spans="1:44">
      <c r="A106" s="1"/>
      <c r="F106" s="404"/>
      <c r="G106" s="404"/>
      <c r="H106" s="1"/>
      <c r="I106" s="17"/>
      <c r="J106" s="17"/>
      <c r="K106" s="31"/>
      <c r="L106" s="31"/>
      <c r="M106" s="31"/>
      <c r="U106" s="32"/>
      <c r="V106" s="3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row>
    <row r="107" spans="1:44">
      <c r="A107" s="1"/>
      <c r="F107" s="404"/>
      <c r="G107" s="404"/>
      <c r="H107" s="1"/>
      <c r="I107" s="17"/>
      <c r="J107" s="17"/>
      <c r="K107" s="31"/>
      <c r="L107" s="31"/>
      <c r="M107" s="31"/>
      <c r="U107" s="32"/>
      <c r="V107" s="3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row>
    <row r="108" spans="1:44">
      <c r="A108" s="1"/>
      <c r="H108" s="1"/>
      <c r="I108" s="17"/>
      <c r="J108" s="17"/>
      <c r="K108" s="31"/>
      <c r="L108" s="31"/>
      <c r="M108" s="31"/>
      <c r="U108" s="32"/>
      <c r="V108" s="3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row>
    <row r="109" spans="1:44">
      <c r="A109" s="1"/>
      <c r="H109" s="1"/>
      <c r="I109" s="17"/>
      <c r="J109" s="17"/>
      <c r="K109" s="31"/>
      <c r="L109" s="31"/>
      <c r="M109" s="31"/>
      <c r="U109" s="32"/>
      <c r="V109" s="3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row>
    <row r="110" spans="1:44">
      <c r="A110" s="1"/>
      <c r="H110" s="1"/>
      <c r="I110" s="17"/>
      <c r="J110" s="17"/>
      <c r="K110" s="31"/>
      <c r="L110" s="31"/>
      <c r="M110" s="31"/>
      <c r="U110" s="32"/>
      <c r="V110" s="3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row>
    <row r="111" spans="1:44">
      <c r="A111" s="1"/>
      <c r="H111" s="1"/>
      <c r="I111" s="17"/>
      <c r="J111" s="17"/>
      <c r="K111" s="31"/>
      <c r="L111" s="31"/>
      <c r="M111" s="31"/>
      <c r="U111" s="32"/>
      <c r="V111" s="3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row>
    <row r="112" spans="1:44">
      <c r="A112" s="1"/>
      <c r="H112" s="1"/>
      <c r="I112" s="17"/>
      <c r="J112" s="17"/>
      <c r="K112" s="31"/>
      <c r="L112" s="31"/>
      <c r="M112" s="31"/>
      <c r="U112" s="32"/>
      <c r="V112" s="3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row>
    <row r="113" spans="1:44">
      <c r="A113" s="1"/>
      <c r="H113" s="1"/>
      <c r="I113" s="17"/>
      <c r="J113" s="17"/>
      <c r="K113" s="31"/>
      <c r="L113" s="31"/>
      <c r="M113" s="31"/>
      <c r="U113" s="32"/>
      <c r="V113" s="3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row>
    <row r="114" spans="1:44">
      <c r="A114" s="1"/>
      <c r="H114" s="1"/>
      <c r="I114" s="17"/>
      <c r="J114" s="17"/>
      <c r="K114" s="31"/>
      <c r="L114" s="31"/>
      <c r="M114" s="31"/>
      <c r="U114" s="32"/>
      <c r="V114" s="3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row>
    <row r="115" spans="1:44">
      <c r="A115" s="1"/>
      <c r="H115" s="1"/>
      <c r="I115" s="17"/>
      <c r="J115" s="17"/>
      <c r="K115" s="31"/>
      <c r="L115" s="31"/>
      <c r="M115" s="31"/>
      <c r="U115" s="32"/>
      <c r="V115" s="3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row>
    <row r="116" spans="1:44">
      <c r="A116" s="1"/>
      <c r="H116" s="1"/>
      <c r="I116" s="17"/>
      <c r="J116" s="17"/>
      <c r="K116" s="31"/>
      <c r="L116" s="31"/>
      <c r="M116" s="31"/>
      <c r="U116" s="32"/>
      <c r="V116" s="3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row>
    <row r="117" spans="1:44">
      <c r="A117" s="1"/>
      <c r="H117" s="1"/>
      <c r="I117" s="17"/>
      <c r="J117" s="17"/>
      <c r="K117" s="31"/>
      <c r="L117" s="31"/>
      <c r="M117" s="31"/>
      <c r="U117" s="32"/>
      <c r="V117" s="3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row>
    <row r="118" spans="1:44">
      <c r="A118" s="1"/>
      <c r="H118" s="1"/>
      <c r="I118" s="17"/>
      <c r="J118" s="17"/>
      <c r="K118" s="31"/>
      <c r="L118" s="31"/>
      <c r="M118" s="31"/>
      <c r="U118" s="32"/>
      <c r="V118" s="3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row>
    <row r="119" spans="1:44">
      <c r="A119" s="1"/>
      <c r="H119" s="1"/>
      <c r="I119" s="17"/>
      <c r="J119" s="17"/>
      <c r="K119" s="31"/>
      <c r="L119" s="31"/>
      <c r="M119" s="31"/>
      <c r="U119" s="32"/>
      <c r="V119" s="3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row>
    <row r="120" spans="1:44">
      <c r="A120" s="1"/>
      <c r="H120" s="1"/>
      <c r="I120" s="17"/>
      <c r="J120" s="17"/>
      <c r="K120" s="31"/>
      <c r="L120" s="31"/>
      <c r="M120" s="31"/>
      <c r="U120" s="32"/>
      <c r="V120" s="3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row>
    <row r="121" spans="1:44">
      <c r="A121" s="1"/>
      <c r="H121" s="1"/>
      <c r="I121" s="12"/>
      <c r="J121" s="12"/>
      <c r="K121" s="32"/>
      <c r="L121" s="32"/>
      <c r="M121" s="32"/>
      <c r="U121" s="32"/>
      <c r="V121" s="3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row>
    <row r="122" spans="1:44">
      <c r="A122" s="1"/>
      <c r="H122" s="1"/>
      <c r="I122" s="12"/>
      <c r="J122" s="12"/>
      <c r="K122" s="32"/>
      <c r="L122" s="32"/>
      <c r="M122" s="32"/>
      <c r="U122" s="32"/>
      <c r="V122" s="3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row>
    <row r="123" spans="1:44">
      <c r="A123" s="1"/>
      <c r="H123" s="1"/>
      <c r="I123" s="12"/>
      <c r="J123" s="12"/>
      <c r="K123" s="32"/>
      <c r="L123" s="32"/>
      <c r="M123" s="32"/>
      <c r="U123" s="32"/>
      <c r="V123" s="3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row>
    <row r="124" spans="1:44">
      <c r="A124" s="1"/>
      <c r="H124" s="1"/>
      <c r="I124" s="12"/>
      <c r="J124" s="12"/>
      <c r="K124" s="32"/>
      <c r="L124" s="32"/>
      <c r="M124" s="32"/>
      <c r="U124" s="32"/>
      <c r="V124" s="3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row>
    <row r="125" spans="1:44">
      <c r="A125" s="1"/>
      <c r="H125" s="1"/>
      <c r="I125" s="12"/>
      <c r="J125" s="12"/>
      <c r="K125" s="32"/>
      <c r="L125" s="32"/>
      <c r="M125" s="32"/>
      <c r="U125" s="32"/>
      <c r="V125" s="3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row>
    <row r="126" spans="1:44">
      <c r="A126" s="1"/>
      <c r="H126" s="1"/>
      <c r="I126" s="12"/>
      <c r="J126" s="12"/>
      <c r="K126" s="32"/>
      <c r="L126" s="32"/>
      <c r="M126" s="32"/>
      <c r="U126" s="32"/>
      <c r="V126" s="3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row>
    <row r="127" spans="1:44">
      <c r="A127" s="1"/>
      <c r="H127" s="1"/>
      <c r="I127" s="12"/>
      <c r="J127" s="12"/>
      <c r="K127" s="32"/>
      <c r="L127" s="32"/>
      <c r="M127" s="32"/>
      <c r="U127" s="32"/>
      <c r="V127" s="3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row>
    <row r="128" spans="1:44">
      <c r="A128" s="1"/>
      <c r="H128" s="1"/>
      <c r="I128" s="12"/>
      <c r="J128" s="12"/>
      <c r="K128" s="32"/>
      <c r="L128" s="32"/>
      <c r="M128" s="32"/>
      <c r="U128" s="32"/>
      <c r="V128" s="3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row>
    <row r="129" spans="1:44">
      <c r="A129" s="1"/>
      <c r="H129" s="1"/>
      <c r="I129" s="12"/>
      <c r="J129" s="12"/>
      <c r="K129" s="32"/>
      <c r="L129" s="32"/>
      <c r="M129" s="32"/>
      <c r="U129" s="32"/>
      <c r="V129" s="3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row>
    <row r="130" spans="1:44">
      <c r="A130" s="1"/>
      <c r="H130" s="1"/>
      <c r="I130" s="12"/>
      <c r="J130" s="12"/>
      <c r="K130" s="32"/>
      <c r="L130" s="32"/>
      <c r="M130" s="32"/>
      <c r="U130" s="32"/>
      <c r="V130" s="3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row>
    <row r="131" spans="1:44">
      <c r="A131" s="1"/>
      <c r="H131" s="1"/>
      <c r="I131" s="12"/>
      <c r="J131" s="12"/>
      <c r="K131" s="32"/>
      <c r="L131" s="32"/>
      <c r="M131" s="32"/>
      <c r="U131" s="32"/>
      <c r="V131" s="3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row>
    <row r="132" spans="1:44">
      <c r="A132" s="1"/>
      <c r="H132" s="1"/>
      <c r="I132" s="12"/>
      <c r="J132" s="12"/>
      <c r="K132" s="32"/>
      <c r="L132" s="32"/>
      <c r="M132" s="32"/>
      <c r="U132" s="32"/>
      <c r="V132" s="3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row>
    <row r="133" spans="1:44">
      <c r="A133" s="1"/>
      <c r="H133" s="1"/>
      <c r="I133" s="12"/>
      <c r="J133" s="12"/>
      <c r="K133" s="32"/>
      <c r="L133" s="32"/>
      <c r="M133" s="32"/>
      <c r="U133" s="32"/>
      <c r="V133" s="3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row>
    <row r="134" spans="1:44">
      <c r="A134" s="1"/>
      <c r="H134" s="1"/>
      <c r="I134" s="12"/>
      <c r="J134" s="12"/>
      <c r="K134" s="32"/>
      <c r="L134" s="32"/>
      <c r="M134" s="32"/>
      <c r="U134" s="32"/>
      <c r="V134" s="3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row>
    <row r="135" spans="1:44">
      <c r="A135" s="1"/>
      <c r="H135" s="1"/>
      <c r="I135" s="12"/>
      <c r="J135" s="12"/>
      <c r="K135" s="32"/>
      <c r="L135" s="32"/>
      <c r="M135" s="32"/>
      <c r="U135" s="32"/>
      <c r="V135" s="3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row>
    <row r="136" spans="1:44">
      <c r="A136" s="1"/>
      <c r="H136" s="1"/>
      <c r="I136" s="12"/>
      <c r="J136" s="12"/>
      <c r="K136" s="32"/>
      <c r="L136" s="32"/>
      <c r="M136" s="32"/>
      <c r="U136" s="32"/>
      <c r="V136" s="3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row>
    <row r="137" spans="1:44">
      <c r="A137" s="1"/>
      <c r="H137" s="1"/>
      <c r="I137" s="12"/>
      <c r="J137" s="12"/>
      <c r="K137" s="32"/>
      <c r="L137" s="32"/>
      <c r="M137" s="32"/>
      <c r="U137" s="32"/>
      <c r="V137" s="3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row>
    <row r="138" spans="1:44">
      <c r="A138" s="1"/>
      <c r="H138" s="1"/>
      <c r="I138" s="12"/>
      <c r="J138" s="12"/>
      <c r="K138" s="32"/>
      <c r="L138" s="32"/>
      <c r="M138" s="32"/>
      <c r="U138" s="32"/>
      <c r="V138" s="3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row>
    <row r="139" spans="1:44">
      <c r="A139" s="1"/>
      <c r="H139" s="1"/>
      <c r="I139" s="12"/>
      <c r="J139" s="12"/>
      <c r="K139" s="32"/>
      <c r="L139" s="32"/>
      <c r="M139" s="32"/>
      <c r="U139" s="32"/>
      <c r="V139" s="3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row>
    <row r="140" spans="1:44">
      <c r="I140" s="12"/>
      <c r="J140" s="12"/>
      <c r="K140" s="32"/>
      <c r="L140" s="32"/>
      <c r="M140" s="32"/>
      <c r="U140" s="32"/>
      <c r="V140" s="3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row>
    <row r="141" spans="1:44">
      <c r="I141" s="12"/>
      <c r="J141" s="12"/>
      <c r="K141" s="32"/>
      <c r="L141" s="32"/>
      <c r="M141" s="32"/>
      <c r="U141" s="32"/>
      <c r="V141" s="3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row>
    <row r="142" spans="1:44">
      <c r="I142" s="12"/>
      <c r="J142" s="12"/>
      <c r="K142" s="32"/>
      <c r="L142" s="32"/>
      <c r="M142" s="32"/>
      <c r="U142" s="32"/>
      <c r="V142" s="3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row>
    <row r="143" spans="1:44">
      <c r="I143" s="12"/>
      <c r="J143" s="12"/>
      <c r="K143" s="32"/>
      <c r="L143" s="32"/>
      <c r="M143" s="32"/>
      <c r="U143" s="32"/>
      <c r="V143" s="3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row>
    <row r="144" spans="1:44">
      <c r="I144" s="12"/>
      <c r="J144" s="12"/>
      <c r="K144" s="32"/>
      <c r="L144" s="32"/>
      <c r="M144" s="32"/>
      <c r="U144" s="32"/>
      <c r="V144" s="3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row>
    <row r="145" spans="9:44">
      <c r="I145" s="12"/>
      <c r="J145" s="12"/>
      <c r="K145" s="32"/>
      <c r="L145" s="32"/>
      <c r="M145" s="32"/>
      <c r="U145" s="32"/>
      <c r="V145" s="3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row>
    <row r="146" spans="9:44">
      <c r="I146" s="12"/>
      <c r="J146" s="12"/>
      <c r="K146" s="32"/>
      <c r="L146" s="32"/>
      <c r="M146" s="32"/>
      <c r="U146" s="32"/>
      <c r="V146" s="3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row>
    <row r="147" spans="9:44">
      <c r="I147" s="12"/>
      <c r="J147" s="12"/>
      <c r="K147" s="32"/>
      <c r="L147" s="32"/>
      <c r="M147" s="32"/>
      <c r="U147" s="32"/>
      <c r="V147" s="3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row>
    <row r="148" spans="9:44">
      <c r="I148" s="12"/>
      <c r="J148" s="12"/>
      <c r="K148" s="32"/>
      <c r="L148" s="32"/>
      <c r="M148" s="32"/>
      <c r="U148" s="32"/>
      <c r="V148" s="3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row>
    <row r="149" spans="9:44">
      <c r="I149" s="12"/>
      <c r="J149" s="12"/>
      <c r="K149" s="32"/>
      <c r="L149" s="32"/>
      <c r="M149" s="32"/>
      <c r="U149" s="32"/>
      <c r="V149" s="3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row>
    <row r="150" spans="9:44">
      <c r="I150" s="12"/>
      <c r="J150" s="12"/>
      <c r="K150" s="32"/>
      <c r="L150" s="32"/>
      <c r="M150" s="32"/>
      <c r="U150" s="32"/>
      <c r="V150" s="3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row>
    <row r="151" spans="9:44">
      <c r="I151" s="12"/>
      <c r="J151" s="12"/>
      <c r="K151" s="32"/>
      <c r="L151" s="32"/>
      <c r="M151" s="32"/>
      <c r="U151" s="32"/>
      <c r="V151" s="3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row>
    <row r="152" spans="9:44">
      <c r="I152" s="12"/>
      <c r="J152" s="12"/>
      <c r="K152" s="32"/>
      <c r="L152" s="32"/>
      <c r="M152" s="32"/>
      <c r="U152" s="32"/>
      <c r="V152" s="3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row>
    <row r="153" spans="9:44">
      <c r="I153" s="12"/>
      <c r="J153" s="12"/>
      <c r="K153" s="32"/>
      <c r="L153" s="32"/>
      <c r="M153" s="32"/>
      <c r="U153" s="32"/>
      <c r="V153" s="3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row>
    <row r="154" spans="9:44">
      <c r="I154" s="12"/>
      <c r="J154" s="12"/>
      <c r="K154" s="32"/>
      <c r="L154" s="32"/>
      <c r="M154" s="32"/>
      <c r="U154" s="32"/>
      <c r="V154" s="3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row>
    <row r="155" spans="9:44">
      <c r="I155" s="12"/>
      <c r="J155" s="12"/>
      <c r="K155" s="32"/>
      <c r="L155" s="32"/>
      <c r="M155" s="32"/>
      <c r="U155" s="32"/>
      <c r="V155" s="3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row>
    <row r="156" spans="9:44">
      <c r="I156" s="12"/>
      <c r="J156" s="12"/>
      <c r="K156" s="32"/>
      <c r="L156" s="32"/>
      <c r="M156" s="32"/>
      <c r="U156" s="32"/>
      <c r="V156" s="3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row>
    <row r="157" spans="9:44">
      <c r="I157" s="12"/>
      <c r="J157" s="12"/>
      <c r="K157" s="32"/>
      <c r="L157" s="32"/>
      <c r="M157" s="32"/>
      <c r="U157" s="32"/>
      <c r="V157" s="3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row>
    <row r="158" spans="9:44">
      <c r="I158" s="12"/>
      <c r="J158" s="12"/>
      <c r="K158" s="32"/>
      <c r="L158" s="32"/>
      <c r="M158" s="32"/>
      <c r="U158" s="32"/>
      <c r="V158" s="3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row>
    <row r="159" spans="9:44">
      <c r="I159" s="12"/>
      <c r="J159" s="12"/>
      <c r="K159" s="32"/>
      <c r="L159" s="32"/>
      <c r="M159" s="32"/>
      <c r="U159" s="32"/>
      <c r="V159" s="3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row>
    <row r="160" spans="9:44">
      <c r="I160" s="12"/>
      <c r="J160" s="12"/>
      <c r="K160" s="32"/>
      <c r="L160" s="32"/>
      <c r="M160" s="32"/>
      <c r="U160" s="32"/>
      <c r="V160" s="3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row>
    <row r="161" spans="9:44">
      <c r="I161" s="12"/>
      <c r="J161" s="12"/>
      <c r="K161" s="32"/>
      <c r="L161" s="32"/>
      <c r="M161" s="32"/>
      <c r="U161" s="32"/>
      <c r="V161" s="3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row>
    <row r="162" spans="9:44">
      <c r="I162" s="12"/>
      <c r="J162" s="12"/>
      <c r="K162" s="32"/>
      <c r="L162" s="32"/>
      <c r="M162" s="32"/>
      <c r="U162" s="32"/>
      <c r="V162" s="3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row>
    <row r="163" spans="9:44">
      <c r="I163" s="12"/>
      <c r="J163" s="12"/>
      <c r="K163" s="32"/>
      <c r="L163" s="32"/>
      <c r="M163" s="32"/>
      <c r="U163" s="32"/>
      <c r="V163" s="3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row>
    <row r="164" spans="9:44">
      <c r="I164" s="12"/>
      <c r="J164" s="12"/>
      <c r="K164" s="32"/>
      <c r="L164" s="32"/>
      <c r="M164" s="32"/>
      <c r="U164" s="32"/>
      <c r="V164" s="3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row>
    <row r="165" spans="9:44">
      <c r="I165" s="12"/>
      <c r="J165" s="12"/>
      <c r="K165" s="32"/>
      <c r="L165" s="32"/>
      <c r="M165" s="32"/>
      <c r="U165" s="32"/>
      <c r="V165" s="3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row>
    <row r="166" spans="9:44">
      <c r="I166" s="12"/>
      <c r="J166" s="12"/>
      <c r="K166" s="32"/>
      <c r="L166" s="32"/>
      <c r="M166" s="32"/>
      <c r="U166" s="32"/>
      <c r="V166" s="3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row>
    <row r="167" spans="9:44">
      <c r="I167" s="12"/>
      <c r="J167" s="12"/>
      <c r="K167" s="32"/>
      <c r="L167" s="32"/>
      <c r="M167" s="32"/>
      <c r="U167" s="32"/>
      <c r="V167" s="3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row>
    <row r="168" spans="9:44">
      <c r="I168" s="12"/>
      <c r="J168" s="12"/>
      <c r="K168" s="32"/>
      <c r="L168" s="32"/>
      <c r="M168" s="32"/>
      <c r="U168" s="32"/>
      <c r="V168" s="3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row>
    <row r="169" spans="9:44">
      <c r="I169" s="12"/>
      <c r="J169" s="12"/>
      <c r="K169" s="32"/>
      <c r="L169" s="32"/>
      <c r="M169" s="32"/>
      <c r="U169" s="32"/>
      <c r="V169" s="3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row>
    <row r="170" spans="9:44">
      <c r="I170" s="12"/>
      <c r="J170" s="12"/>
      <c r="K170" s="32"/>
      <c r="L170" s="32"/>
      <c r="M170" s="32"/>
      <c r="U170" s="32"/>
      <c r="V170" s="3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row>
    <row r="171" spans="9:44">
      <c r="I171" s="12"/>
      <c r="J171" s="12"/>
      <c r="K171" s="32"/>
      <c r="L171" s="32"/>
      <c r="M171" s="32"/>
      <c r="U171" s="32"/>
      <c r="V171" s="3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row>
    <row r="172" spans="9:44">
      <c r="I172" s="12"/>
      <c r="J172" s="12"/>
      <c r="K172" s="32"/>
      <c r="L172" s="32"/>
      <c r="M172" s="32"/>
      <c r="U172" s="32"/>
      <c r="V172" s="3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row>
    <row r="173" spans="9:44">
      <c r="I173" s="12"/>
      <c r="J173" s="12"/>
      <c r="K173" s="32"/>
      <c r="L173" s="32"/>
      <c r="M173" s="32"/>
      <c r="U173" s="32"/>
      <c r="V173" s="3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row>
    <row r="174" spans="9:44">
      <c r="I174" s="12"/>
      <c r="J174" s="12"/>
      <c r="K174" s="32"/>
      <c r="L174" s="32"/>
      <c r="M174" s="32"/>
      <c r="U174" s="32"/>
      <c r="V174" s="3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row>
    <row r="175" spans="9:44">
      <c r="I175" s="12"/>
      <c r="J175" s="12"/>
      <c r="K175" s="32"/>
      <c r="L175" s="32"/>
      <c r="M175" s="32"/>
      <c r="U175" s="32"/>
      <c r="V175" s="3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row>
    <row r="176" spans="9:44">
      <c r="I176" s="12"/>
      <c r="J176" s="12"/>
      <c r="K176" s="32"/>
      <c r="L176" s="32"/>
      <c r="M176" s="32"/>
      <c r="U176" s="32"/>
      <c r="V176" s="3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row>
    <row r="177" spans="9:44">
      <c r="I177" s="12"/>
      <c r="J177" s="12"/>
      <c r="K177" s="32"/>
      <c r="L177" s="32"/>
      <c r="M177" s="32"/>
      <c r="U177" s="32"/>
      <c r="V177" s="3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row>
    <row r="178" spans="9:44">
      <c r="I178" s="12"/>
      <c r="J178" s="12"/>
      <c r="K178" s="32"/>
      <c r="L178" s="32"/>
      <c r="M178" s="32"/>
      <c r="U178" s="32"/>
      <c r="V178" s="3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row>
  </sheetData>
  <phoneticPr fontId="14" type="noConversion"/>
  <printOptions gridLinesSet="0"/>
  <pageMargins left="0.5" right="0.5" top="0.5" bottom="0.55000000000000004" header="0.5" footer="0.5"/>
  <pageSetup scale="80" orientation="portrait" horizontalDpi="4294967292" verticalDpi="144" r:id="rId1"/>
  <headerFooter alignWithMargins="0">
    <oddFooter>&amp;C&amp;"Times New Roman,Regular"&amp;8&amp;D</oddFooter>
  </headerFooter>
  <ignoredErrors>
    <ignoredError sqref="B13"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42</vt:i4>
      </vt:variant>
    </vt:vector>
  </HeadingPairs>
  <TitlesOfParts>
    <vt:vector size="56" baseType="lpstr">
      <vt:lpstr>FA Rec</vt:lpstr>
      <vt:lpstr>Input</vt:lpstr>
      <vt:lpstr>Reconciliation</vt:lpstr>
      <vt:lpstr>SF425-FFR</vt:lpstr>
      <vt:lpstr>GT_PI Letter</vt:lpstr>
      <vt:lpstr>Sponsor Email</vt:lpstr>
      <vt:lpstr>Sponsor Corresp.</vt:lpstr>
      <vt:lpstr>IDC</vt:lpstr>
      <vt:lpstr>GABS</vt:lpstr>
      <vt:lpstr>IDC ADJ JV</vt:lpstr>
      <vt:lpstr>OFFSET JV</vt:lpstr>
      <vt:lpstr>Deficit JV</vt:lpstr>
      <vt:lpstr>Updates</vt:lpstr>
      <vt:lpstr>Outstanding Oblig.</vt:lpstr>
      <vt:lpstr>'Deficit JV'!\d</vt:lpstr>
      <vt:lpstr>'IDC ADJ JV'!\d</vt:lpstr>
      <vt:lpstr>'OFFSET JV'!\d</vt:lpstr>
      <vt:lpstr>'Deficit JV'!\e</vt:lpstr>
      <vt:lpstr>'IDC ADJ JV'!\e</vt:lpstr>
      <vt:lpstr>'OFFSET JV'!\e</vt:lpstr>
      <vt:lpstr>'Deficit JV'!\p</vt:lpstr>
      <vt:lpstr>'IDC ADJ JV'!\p</vt:lpstr>
      <vt:lpstr>'OFFSET JV'!\p</vt:lpstr>
      <vt:lpstr>'Outstanding Oblig.'!\v</vt:lpstr>
      <vt:lpstr>'Deficit JV'!\x</vt:lpstr>
      <vt:lpstr>'IDC ADJ JV'!\x</vt:lpstr>
      <vt:lpstr>'OFFSET JV'!\x</vt:lpstr>
      <vt:lpstr>__DOB2</vt:lpstr>
      <vt:lpstr>'FA Rec'!Competing</vt:lpstr>
      <vt:lpstr>'FA Rec'!D.O.B</vt:lpstr>
      <vt:lpstr>'Deficit JV'!DATA</vt:lpstr>
      <vt:lpstr>'OFFSET JV'!DATA</vt:lpstr>
      <vt:lpstr>'FA Rec'!Disposition</vt:lpstr>
      <vt:lpstr>'FA Rec'!DOB</vt:lpstr>
      <vt:lpstr>'Outstanding Oblig.'!funds_available_for_oustanding_obligations</vt:lpstr>
      <vt:lpstr>'Deficit JV'!Print_Area</vt:lpstr>
      <vt:lpstr>'FA Rec'!Print_Area</vt:lpstr>
      <vt:lpstr>GABS!Print_Area</vt:lpstr>
      <vt:lpstr>'GT_PI Letter'!Print_Area</vt:lpstr>
      <vt:lpstr>IDC!Print_Area</vt:lpstr>
      <vt:lpstr>'IDC ADJ JV'!Print_Area</vt:lpstr>
      <vt:lpstr>Input!Print_Area</vt:lpstr>
      <vt:lpstr>'OFFSET JV'!Print_Area</vt:lpstr>
      <vt:lpstr>'Outstanding Oblig.'!Print_Area</vt:lpstr>
      <vt:lpstr>Reconciliation!Print_Area</vt:lpstr>
      <vt:lpstr>'SF425-FFR'!Print_Area</vt:lpstr>
      <vt:lpstr>'Deficit JV'!Print_Area_MI</vt:lpstr>
      <vt:lpstr>'IDC ADJ JV'!Print_Area_MI</vt:lpstr>
      <vt:lpstr>'OFFSET JV'!Print_Area_MI</vt:lpstr>
      <vt:lpstr>'FA Rec'!Refund</vt:lpstr>
      <vt:lpstr>'FA Rec'!Retain</vt:lpstr>
      <vt:lpstr>'FA Rec'!Segment</vt:lpstr>
      <vt:lpstr>'FA Rec'!Segmentr</vt:lpstr>
      <vt:lpstr>'FA Rec'!Sponsor_Website</vt:lpstr>
      <vt:lpstr>'FA Rec'!Submission</vt:lpstr>
      <vt:lpstr>'FA Rec'!Web_Upload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FRBASICREPORT</dc:title>
  <dc:creator>Marcus Dorschel</dc:creator>
  <cp:lastModifiedBy>med4</cp:lastModifiedBy>
  <cp:lastPrinted>2017-04-24T17:01:09Z</cp:lastPrinted>
  <dcterms:created xsi:type="dcterms:W3CDTF">1998-04-20T16:01:57Z</dcterms:created>
  <dcterms:modified xsi:type="dcterms:W3CDTF">2017-04-24T17:21:21Z</dcterms:modified>
</cp:coreProperties>
</file>